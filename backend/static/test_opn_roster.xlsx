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3964\Downloads\"/>
    </mc:Choice>
  </mc:AlternateContent>
  <xr:revisionPtr revIDLastSave="0" documentId="8_{0291FF89-4ADC-4519-BFAE-38EDB36313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tal Notebooks (Final)" sheetId="6" r:id="rId1"/>
    <sheet name="Schoolwise notebook count (Fin)" sheetId="10" r:id="rId2"/>
    <sheet name="Notebook Distributed" sheetId="18" r:id="rId3"/>
    <sheet name="Team for Distribution" sheetId="20" r:id="rId4"/>
    <sheet name="Gantt chart" sheetId="8" r:id="rId5"/>
  </sheets>
  <definedNames>
    <definedName name="_xlnm._FilterDatabase" localSheetId="4" hidden="1">'Gantt chart'!$A$2:$U$46</definedName>
    <definedName name="_xlnm._FilterDatabase" localSheetId="2" hidden="1">'Notebook Distributed'!$A$1:$G$110</definedName>
    <definedName name="_xlnm._FilterDatabase" localSheetId="1" hidden="1">'Schoolwise notebook count (Fin)'!$A$1:$J$105</definedName>
    <definedName name="_xlnm._FilterDatabase" localSheetId="0" hidden="1">'Total Notebooks (Final)'!$B$1:$AR$121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6" l="1"/>
  <c r="F121" i="6"/>
  <c r="G121" i="6"/>
  <c r="H121" i="6"/>
  <c r="I121" i="6"/>
  <c r="J121" i="6"/>
  <c r="K121" i="6"/>
  <c r="L121" i="6"/>
  <c r="N121" i="6"/>
  <c r="M121" i="6"/>
  <c r="O121" i="6"/>
  <c r="P121" i="6"/>
  <c r="Q121" i="6"/>
  <c r="R121" i="6"/>
  <c r="T121" i="6"/>
  <c r="S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P121" i="6"/>
  <c r="AQ18" i="6"/>
  <c r="AP18" i="6"/>
  <c r="AB99" i="6"/>
  <c r="AF45" i="6"/>
  <c r="P48" i="6"/>
  <c r="AD105" i="6"/>
  <c r="AD104" i="6"/>
  <c r="AD103" i="6"/>
  <c r="AD102" i="6"/>
  <c r="AD101" i="6"/>
  <c r="AD96" i="6"/>
  <c r="AD81" i="6"/>
  <c r="AD61" i="6"/>
  <c r="AD60" i="6"/>
  <c r="AD55" i="6"/>
  <c r="AD54" i="6"/>
  <c r="AD43" i="6"/>
  <c r="AD42" i="6"/>
  <c r="AD36" i="6"/>
  <c r="AB105" i="6"/>
  <c r="AB104" i="6"/>
  <c r="AB103" i="6"/>
  <c r="AB102" i="6"/>
  <c r="AB101" i="6"/>
  <c r="AB96" i="6"/>
  <c r="AB81" i="6"/>
  <c r="AB61" i="6"/>
  <c r="AB60" i="6"/>
  <c r="AB55" i="6"/>
  <c r="AB54" i="6"/>
  <c r="AB43" i="6"/>
  <c r="AB42" i="6"/>
  <c r="AB36" i="6"/>
  <c r="Z105" i="6"/>
  <c r="Z104" i="6"/>
  <c r="Z103" i="6"/>
  <c r="Z102" i="6"/>
  <c r="Z101" i="6"/>
  <c r="Z96" i="6"/>
  <c r="Z81" i="6"/>
  <c r="Z61" i="6"/>
  <c r="Z60" i="6"/>
  <c r="Z55" i="6"/>
  <c r="Z54" i="6"/>
  <c r="Z43" i="6"/>
  <c r="Z42" i="6"/>
  <c r="Z36" i="6"/>
  <c r="U105" i="6"/>
  <c r="V105" i="6" s="1"/>
  <c r="U104" i="6"/>
  <c r="V104" i="6" s="1"/>
  <c r="U103" i="6"/>
  <c r="V103" i="6" s="1"/>
  <c r="W103" i="6" s="1"/>
  <c r="U102" i="6"/>
  <c r="V102" i="6" s="1"/>
  <c r="U101" i="6"/>
  <c r="V101" i="6" s="1"/>
  <c r="U96" i="6"/>
  <c r="V96" i="6" s="1"/>
  <c r="W96" i="6" s="1"/>
  <c r="X96" i="6" s="1"/>
  <c r="U81" i="6"/>
  <c r="V81" i="6" s="1"/>
  <c r="W81" i="6" s="1"/>
  <c r="X81" i="6" s="1"/>
  <c r="U61" i="6"/>
  <c r="U60" i="6"/>
  <c r="U55" i="6"/>
  <c r="U54" i="6"/>
  <c r="U43" i="6"/>
  <c r="U42" i="6"/>
  <c r="U36" i="6"/>
  <c r="AP4" i="6"/>
  <c r="AP3" i="6"/>
  <c r="Q106" i="6"/>
  <c r="Q107" i="6"/>
  <c r="Q108" i="6"/>
  <c r="Q109" i="6"/>
  <c r="Q110" i="6"/>
  <c r="Q111" i="6"/>
  <c r="Q112" i="6"/>
  <c r="Q113" i="6"/>
  <c r="Q114" i="6"/>
  <c r="Q115" i="6"/>
  <c r="Q116" i="6"/>
  <c r="P106" i="6"/>
  <c r="P107" i="6"/>
  <c r="P108" i="6"/>
  <c r="P109" i="6"/>
  <c r="P110" i="6"/>
  <c r="P111" i="6"/>
  <c r="P112" i="6"/>
  <c r="P113" i="6"/>
  <c r="P114" i="6"/>
  <c r="P115" i="6"/>
  <c r="P116" i="6"/>
  <c r="N106" i="6"/>
  <c r="N107" i="6"/>
  <c r="N108" i="6"/>
  <c r="N109" i="6"/>
  <c r="N110" i="6"/>
  <c r="N111" i="6"/>
  <c r="N112" i="6"/>
  <c r="N113" i="6"/>
  <c r="N114" i="6"/>
  <c r="N115" i="6"/>
  <c r="N116" i="6"/>
  <c r="M106" i="6"/>
  <c r="M107" i="6"/>
  <c r="M108" i="6"/>
  <c r="M109" i="6"/>
  <c r="M110" i="6"/>
  <c r="M111" i="6"/>
  <c r="M112" i="6"/>
  <c r="M113" i="6"/>
  <c r="M114" i="6"/>
  <c r="M115" i="6"/>
  <c r="M116" i="6"/>
  <c r="L106" i="6"/>
  <c r="L107" i="6"/>
  <c r="L108" i="6"/>
  <c r="L109" i="6"/>
  <c r="L110" i="6"/>
  <c r="L111" i="6"/>
  <c r="L112" i="6"/>
  <c r="L113" i="6"/>
  <c r="L114" i="6"/>
  <c r="L115" i="6"/>
  <c r="L116" i="6"/>
  <c r="K106" i="6"/>
  <c r="K107" i="6"/>
  <c r="K108" i="6"/>
  <c r="K109" i="6"/>
  <c r="K110" i="6"/>
  <c r="K111" i="6"/>
  <c r="K112" i="6"/>
  <c r="K113" i="6"/>
  <c r="K114" i="6"/>
  <c r="K115" i="6"/>
  <c r="K116" i="6"/>
  <c r="I106" i="6"/>
  <c r="I107" i="6"/>
  <c r="I108" i="6"/>
  <c r="I109" i="6"/>
  <c r="I110" i="6"/>
  <c r="I111" i="6"/>
  <c r="I112" i="6"/>
  <c r="I113" i="6"/>
  <c r="I114" i="6"/>
  <c r="I115" i="6"/>
  <c r="I116" i="6"/>
  <c r="H106" i="6"/>
  <c r="H107" i="6"/>
  <c r="H108" i="6"/>
  <c r="H109" i="6"/>
  <c r="H110" i="6"/>
  <c r="H111" i="6"/>
  <c r="H112" i="6"/>
  <c r="H113" i="6"/>
  <c r="H114" i="6"/>
  <c r="H115" i="6"/>
  <c r="H116" i="6"/>
  <c r="G106" i="6"/>
  <c r="G107" i="6"/>
  <c r="G108" i="6"/>
  <c r="G109" i="6"/>
  <c r="G110" i="6"/>
  <c r="G111" i="6"/>
  <c r="G112" i="6"/>
  <c r="G113" i="6"/>
  <c r="G114" i="6"/>
  <c r="G115" i="6"/>
  <c r="G116" i="6"/>
  <c r="F106" i="6"/>
  <c r="F107" i="6"/>
  <c r="F108" i="6"/>
  <c r="F109" i="6"/>
  <c r="F110" i="6"/>
  <c r="F111" i="6"/>
  <c r="F112" i="6"/>
  <c r="F113" i="6"/>
  <c r="F114" i="6"/>
  <c r="F115" i="6"/>
  <c r="F116" i="6"/>
  <c r="R106" i="6"/>
  <c r="R107" i="6"/>
  <c r="R108" i="6"/>
  <c r="R109" i="6"/>
  <c r="R110" i="6"/>
  <c r="R111" i="6"/>
  <c r="R112" i="6"/>
  <c r="R113" i="6"/>
  <c r="R114" i="6"/>
  <c r="R115" i="6"/>
  <c r="S106" i="6"/>
  <c r="S107" i="6"/>
  <c r="S108" i="6"/>
  <c r="S109" i="6"/>
  <c r="S110" i="6"/>
  <c r="S111" i="6"/>
  <c r="S112" i="6"/>
  <c r="S113" i="6"/>
  <c r="S114" i="6"/>
  <c r="S115" i="6"/>
  <c r="S116" i="6"/>
  <c r="U106" i="6"/>
  <c r="U107" i="6"/>
  <c r="V107" i="6" s="1"/>
  <c r="W107" i="6" s="1"/>
  <c r="X107" i="6" s="1"/>
  <c r="U108" i="6"/>
  <c r="V108" i="6" s="1"/>
  <c r="W108" i="6" s="1"/>
  <c r="X108" i="6" s="1"/>
  <c r="U109" i="6"/>
  <c r="U110" i="6"/>
  <c r="V110" i="6" s="1"/>
  <c r="W110" i="6" s="1"/>
  <c r="X110" i="6" s="1"/>
  <c r="U111" i="6"/>
  <c r="U112" i="6"/>
  <c r="U113" i="6"/>
  <c r="U114" i="6"/>
  <c r="V114" i="6" s="1"/>
  <c r="W114" i="6" s="1"/>
  <c r="X114" i="6" s="1"/>
  <c r="U115" i="6"/>
  <c r="V115" i="6" s="1"/>
  <c r="W115" i="6" s="1"/>
  <c r="X115" i="6" s="1"/>
  <c r="U116" i="6"/>
  <c r="V106" i="6"/>
  <c r="V109" i="6"/>
  <c r="V111" i="6"/>
  <c r="V112" i="6"/>
  <c r="V113" i="6"/>
  <c r="V116" i="6"/>
  <c r="W106" i="6"/>
  <c r="W109" i="6"/>
  <c r="W111" i="6"/>
  <c r="W112" i="6"/>
  <c r="W113" i="6"/>
  <c r="W116" i="6"/>
  <c r="X116" i="6" s="1"/>
  <c r="X106" i="6"/>
  <c r="X109" i="6"/>
  <c r="X111" i="6"/>
  <c r="X112" i="6"/>
  <c r="X113" i="6"/>
  <c r="Z106" i="6"/>
  <c r="Z107" i="6"/>
  <c r="Z108" i="6"/>
  <c r="Z109" i="6"/>
  <c r="Z110" i="6"/>
  <c r="Z111" i="6"/>
  <c r="Z112" i="6"/>
  <c r="Z113" i="6"/>
  <c r="Z114" i="6"/>
  <c r="Z115" i="6"/>
  <c r="Z116" i="6"/>
  <c r="AB106" i="6"/>
  <c r="AB107" i="6"/>
  <c r="AB108" i="6"/>
  <c r="AB109" i="6"/>
  <c r="AB110" i="6"/>
  <c r="AB111" i="6"/>
  <c r="AB112" i="6"/>
  <c r="AB113" i="6"/>
  <c r="AB114" i="6"/>
  <c r="AB115" i="6"/>
  <c r="AB116" i="6"/>
  <c r="AD111" i="6"/>
  <c r="AD112" i="6"/>
  <c r="AD113" i="6"/>
  <c r="AD114" i="6"/>
  <c r="AD115" i="6"/>
  <c r="AD116" i="6"/>
  <c r="AF110" i="6"/>
  <c r="AF111" i="6"/>
  <c r="AF112" i="6"/>
  <c r="AF113" i="6"/>
  <c r="AF114" i="6"/>
  <c r="AF115" i="6"/>
  <c r="AF116" i="6"/>
  <c r="AH109" i="6"/>
  <c r="AH110" i="6"/>
  <c r="AH111" i="6"/>
  <c r="AH112" i="6"/>
  <c r="AH113" i="6"/>
  <c r="AH114" i="6"/>
  <c r="AH115" i="6"/>
  <c r="AH116" i="6"/>
  <c r="AI110" i="6"/>
  <c r="AI111" i="6"/>
  <c r="AI112" i="6"/>
  <c r="AI113" i="6"/>
  <c r="AI114" i="6"/>
  <c r="AI115" i="6"/>
  <c r="AI116" i="6"/>
  <c r="AK110" i="6"/>
  <c r="AK111" i="6"/>
  <c r="AK112" i="6"/>
  <c r="AK113" i="6"/>
  <c r="AK114" i="6"/>
  <c r="AK115" i="6"/>
  <c r="AK116" i="6"/>
  <c r="AL111" i="6"/>
  <c r="AL112" i="6"/>
  <c r="AL113" i="6"/>
  <c r="AL114" i="6"/>
  <c r="AL115" i="6"/>
  <c r="AL116" i="6"/>
  <c r="AP110" i="6"/>
  <c r="AP111" i="6"/>
  <c r="AP112" i="6"/>
  <c r="AP113" i="6"/>
  <c r="AP114" i="6"/>
  <c r="AP115" i="6"/>
  <c r="AP116" i="6"/>
  <c r="AL42" i="6"/>
  <c r="AK42" i="6"/>
  <c r="AI42" i="6"/>
  <c r="AH42" i="6"/>
  <c r="AF42" i="6"/>
  <c r="AB100" i="6"/>
  <c r="Z99" i="6"/>
  <c r="Z100" i="6"/>
  <c r="U99" i="6"/>
  <c r="V99" i="6" s="1"/>
  <c r="W99" i="6" s="1"/>
  <c r="X99" i="6" s="1"/>
  <c r="U100" i="6"/>
  <c r="V100" i="6" s="1"/>
  <c r="S98" i="6"/>
  <c r="S99" i="6"/>
  <c r="S100" i="6"/>
  <c r="S101" i="6"/>
  <c r="S102" i="6"/>
  <c r="S103" i="6"/>
  <c r="S104" i="6"/>
  <c r="S105" i="6"/>
  <c r="R99" i="6"/>
  <c r="R100" i="6"/>
  <c r="R101" i="6"/>
  <c r="R102" i="6"/>
  <c r="R103" i="6"/>
  <c r="R104" i="6"/>
  <c r="R105" i="6"/>
  <c r="Q98" i="6"/>
  <c r="Q99" i="6"/>
  <c r="Q100" i="6"/>
  <c r="Q101" i="6"/>
  <c r="Q102" i="6"/>
  <c r="Q103" i="6"/>
  <c r="Q104" i="6"/>
  <c r="Q105" i="6"/>
  <c r="P97" i="6"/>
  <c r="P98" i="6"/>
  <c r="P99" i="6"/>
  <c r="P100" i="6"/>
  <c r="P101" i="6"/>
  <c r="P102" i="6"/>
  <c r="P103" i="6"/>
  <c r="P104" i="6"/>
  <c r="P105" i="6"/>
  <c r="N99" i="6"/>
  <c r="N100" i="6"/>
  <c r="N101" i="6"/>
  <c r="N102" i="6"/>
  <c r="N103" i="6"/>
  <c r="N104" i="6"/>
  <c r="N105" i="6"/>
  <c r="M99" i="6"/>
  <c r="M100" i="6"/>
  <c r="M101" i="6"/>
  <c r="M102" i="6"/>
  <c r="M103" i="6"/>
  <c r="M104" i="6"/>
  <c r="M105" i="6"/>
  <c r="L99" i="6"/>
  <c r="L100" i="6"/>
  <c r="L101" i="6"/>
  <c r="L102" i="6"/>
  <c r="L103" i="6"/>
  <c r="L104" i="6"/>
  <c r="L105" i="6"/>
  <c r="K100" i="6"/>
  <c r="K101" i="6"/>
  <c r="K102" i="6"/>
  <c r="K103" i="6"/>
  <c r="K104" i="6"/>
  <c r="K105" i="6"/>
  <c r="I98" i="6"/>
  <c r="I99" i="6"/>
  <c r="I100" i="6"/>
  <c r="I101" i="6"/>
  <c r="I102" i="6"/>
  <c r="I103" i="6"/>
  <c r="I104" i="6"/>
  <c r="I105" i="6"/>
  <c r="H98" i="6"/>
  <c r="H99" i="6"/>
  <c r="H100" i="6"/>
  <c r="H101" i="6"/>
  <c r="H102" i="6"/>
  <c r="H103" i="6"/>
  <c r="H104" i="6"/>
  <c r="H105" i="6"/>
  <c r="G98" i="6"/>
  <c r="G99" i="6"/>
  <c r="G100" i="6"/>
  <c r="G101" i="6"/>
  <c r="G102" i="6"/>
  <c r="G103" i="6"/>
  <c r="G104" i="6"/>
  <c r="G105" i="6"/>
  <c r="F99" i="6"/>
  <c r="F100" i="6"/>
  <c r="F101" i="6"/>
  <c r="F102" i="6"/>
  <c r="F103" i="6"/>
  <c r="F104" i="6"/>
  <c r="F105" i="6"/>
  <c r="P36" i="6"/>
  <c r="L36" i="6"/>
  <c r="F36" i="6"/>
  <c r="AF62" i="6"/>
  <c r="AD62" i="6"/>
  <c r="AD66" i="6"/>
  <c r="Z66" i="6"/>
  <c r="Z62" i="6"/>
  <c r="AB62" i="6"/>
  <c r="AB66" i="6"/>
  <c r="AH24" i="6"/>
  <c r="P9" i="6"/>
  <c r="AP109" i="6"/>
  <c r="AL110" i="6"/>
  <c r="AF101" i="6"/>
  <c r="AF102" i="6"/>
  <c r="AF103" i="6"/>
  <c r="AF104" i="6"/>
  <c r="AF105" i="6"/>
  <c r="AF106" i="6"/>
  <c r="AF107" i="6"/>
  <c r="AF108" i="6"/>
  <c r="AF109" i="6"/>
  <c r="AD100" i="6"/>
  <c r="AD106" i="6"/>
  <c r="AD107" i="6"/>
  <c r="AD108" i="6"/>
  <c r="AD109" i="6"/>
  <c r="AD110" i="6"/>
  <c r="AD97" i="6"/>
  <c r="AD98" i="6"/>
  <c r="AD99" i="6"/>
  <c r="AP100" i="6"/>
  <c r="AP101" i="6"/>
  <c r="AP102" i="6"/>
  <c r="AP103" i="6"/>
  <c r="AP104" i="6"/>
  <c r="AP105" i="6"/>
  <c r="AP106" i="6"/>
  <c r="AP107" i="6"/>
  <c r="AP108" i="6"/>
  <c r="AL100" i="6"/>
  <c r="AL101" i="6"/>
  <c r="AL102" i="6"/>
  <c r="AL103" i="6"/>
  <c r="AL104" i="6"/>
  <c r="AL105" i="6"/>
  <c r="AL106" i="6"/>
  <c r="AL107" i="6"/>
  <c r="AL108" i="6"/>
  <c r="AL109" i="6"/>
  <c r="AK100" i="6"/>
  <c r="AK101" i="6"/>
  <c r="AK102" i="6"/>
  <c r="AK103" i="6"/>
  <c r="AK104" i="6"/>
  <c r="AK105" i="6"/>
  <c r="AK106" i="6"/>
  <c r="AK107" i="6"/>
  <c r="AK108" i="6"/>
  <c r="AK109" i="6"/>
  <c r="AI100" i="6"/>
  <c r="AI101" i="6"/>
  <c r="AI102" i="6"/>
  <c r="AI103" i="6"/>
  <c r="AI104" i="6"/>
  <c r="AI105" i="6"/>
  <c r="AI106" i="6"/>
  <c r="AI107" i="6"/>
  <c r="AI108" i="6"/>
  <c r="AI109" i="6"/>
  <c r="AH100" i="6"/>
  <c r="AH101" i="6"/>
  <c r="AH102" i="6"/>
  <c r="AH103" i="6"/>
  <c r="AH104" i="6"/>
  <c r="AH105" i="6"/>
  <c r="AH106" i="6"/>
  <c r="AH107" i="6"/>
  <c r="AH108" i="6"/>
  <c r="AF100" i="6"/>
  <c r="AF99" i="6"/>
  <c r="K76" i="6"/>
  <c r="P82" i="6"/>
  <c r="Z18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F4" i="6"/>
  <c r="Z3" i="6"/>
  <c r="AK92" i="6"/>
  <c r="AL92" i="6"/>
  <c r="AK93" i="6"/>
  <c r="AL93" i="6"/>
  <c r="AK94" i="6"/>
  <c r="AL94" i="6"/>
  <c r="AK95" i="6"/>
  <c r="AL95" i="6"/>
  <c r="AK96" i="6"/>
  <c r="AL96" i="6"/>
  <c r="AK97" i="6"/>
  <c r="AL97" i="6"/>
  <c r="AK98" i="6"/>
  <c r="AL98" i="6"/>
  <c r="AH92" i="6"/>
  <c r="AI92" i="6"/>
  <c r="AH93" i="6"/>
  <c r="AI93" i="6"/>
  <c r="AH94" i="6"/>
  <c r="AI94" i="6"/>
  <c r="AH95" i="6"/>
  <c r="AI95" i="6"/>
  <c r="AH96" i="6"/>
  <c r="AI96" i="6"/>
  <c r="AH97" i="6"/>
  <c r="AI97" i="6"/>
  <c r="AH98" i="6"/>
  <c r="AI98" i="6"/>
  <c r="AF92" i="6"/>
  <c r="AF93" i="6"/>
  <c r="AF94" i="6"/>
  <c r="AF95" i="6"/>
  <c r="AF96" i="6"/>
  <c r="AF97" i="6"/>
  <c r="AF98" i="6"/>
  <c r="AD92" i="6"/>
  <c r="AD93" i="6"/>
  <c r="AD94" i="6"/>
  <c r="AD95" i="6"/>
  <c r="AB92" i="6"/>
  <c r="AB93" i="6"/>
  <c r="AB94" i="6"/>
  <c r="AB95" i="6"/>
  <c r="AB97" i="6"/>
  <c r="AB98" i="6"/>
  <c r="Z92" i="6"/>
  <c r="Z93" i="6"/>
  <c r="Z94" i="6"/>
  <c r="Z95" i="6"/>
  <c r="Z97" i="6"/>
  <c r="Z98" i="6"/>
  <c r="K92" i="6"/>
  <c r="L92" i="6"/>
  <c r="M92" i="6"/>
  <c r="N92" i="6"/>
  <c r="K93" i="6"/>
  <c r="L93" i="6"/>
  <c r="M93" i="6"/>
  <c r="N93" i="6"/>
  <c r="K94" i="6"/>
  <c r="L94" i="6"/>
  <c r="M94" i="6"/>
  <c r="N94" i="6"/>
  <c r="K95" i="6"/>
  <c r="L95" i="6"/>
  <c r="M95" i="6"/>
  <c r="N95" i="6"/>
  <c r="K96" i="6"/>
  <c r="L96" i="6"/>
  <c r="M96" i="6"/>
  <c r="N96" i="6"/>
  <c r="K97" i="6"/>
  <c r="L97" i="6"/>
  <c r="M97" i="6"/>
  <c r="N97" i="6"/>
  <c r="K98" i="6"/>
  <c r="L98" i="6"/>
  <c r="M98" i="6"/>
  <c r="N98" i="6"/>
  <c r="F92" i="6"/>
  <c r="G92" i="6"/>
  <c r="H92" i="6"/>
  <c r="I92" i="6"/>
  <c r="F93" i="6"/>
  <c r="G93" i="6"/>
  <c r="H93" i="6"/>
  <c r="I93" i="6"/>
  <c r="F94" i="6"/>
  <c r="G94" i="6"/>
  <c r="H94" i="6"/>
  <c r="I94" i="6"/>
  <c r="F95" i="6"/>
  <c r="G95" i="6"/>
  <c r="H95" i="6"/>
  <c r="I95" i="6"/>
  <c r="F96" i="6"/>
  <c r="G96" i="6"/>
  <c r="H96" i="6"/>
  <c r="I96" i="6"/>
  <c r="F97" i="6"/>
  <c r="G97" i="6"/>
  <c r="H97" i="6"/>
  <c r="I97" i="6"/>
  <c r="F98" i="6"/>
  <c r="P92" i="6"/>
  <c r="Q92" i="6"/>
  <c r="R92" i="6"/>
  <c r="S92" i="6"/>
  <c r="P93" i="6"/>
  <c r="Q93" i="6"/>
  <c r="R93" i="6"/>
  <c r="S93" i="6"/>
  <c r="P94" i="6"/>
  <c r="Q94" i="6"/>
  <c r="R94" i="6"/>
  <c r="S94" i="6"/>
  <c r="P95" i="6"/>
  <c r="Q95" i="6"/>
  <c r="R95" i="6"/>
  <c r="S95" i="6"/>
  <c r="P96" i="6"/>
  <c r="Q96" i="6"/>
  <c r="R96" i="6"/>
  <c r="S96" i="6"/>
  <c r="Q97" i="6"/>
  <c r="R97" i="6"/>
  <c r="S97" i="6"/>
  <c r="R98" i="6"/>
  <c r="U97" i="6"/>
  <c r="V97" i="6" s="1"/>
  <c r="W97" i="6" s="1"/>
  <c r="X97" i="6" s="1"/>
  <c r="U98" i="6"/>
  <c r="V98" i="6" s="1"/>
  <c r="W98" i="6" s="1"/>
  <c r="X98" i="6" s="1"/>
  <c r="U92" i="6"/>
  <c r="V92" i="6" s="1"/>
  <c r="W92" i="6" s="1"/>
  <c r="X92" i="6" s="1"/>
  <c r="U93" i="6"/>
  <c r="V93" i="6" s="1"/>
  <c r="W93" i="6" s="1"/>
  <c r="X93" i="6" s="1"/>
  <c r="U94" i="6"/>
  <c r="V94" i="6" s="1"/>
  <c r="W94" i="6" s="1"/>
  <c r="X94" i="6" s="1"/>
  <c r="U95" i="6"/>
  <c r="V95" i="6" s="1"/>
  <c r="W95" i="6" s="1"/>
  <c r="X95" i="6" s="1"/>
  <c r="I90" i="6"/>
  <c r="I91" i="6"/>
  <c r="H88" i="6"/>
  <c r="H89" i="6"/>
  <c r="H90" i="6"/>
  <c r="H91" i="6"/>
  <c r="G88" i="6"/>
  <c r="G89" i="6"/>
  <c r="G90" i="6"/>
  <c r="G91" i="6"/>
  <c r="F89" i="6"/>
  <c r="F90" i="6"/>
  <c r="F91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9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9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9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9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D76" i="6"/>
  <c r="AD77" i="6"/>
  <c r="AD78" i="6"/>
  <c r="AD79" i="6"/>
  <c r="AD80" i="6"/>
  <c r="AD82" i="6"/>
  <c r="AD83" i="6"/>
  <c r="AD84" i="6"/>
  <c r="AD85" i="6"/>
  <c r="AD86" i="6"/>
  <c r="AD87" i="6"/>
  <c r="AD88" i="6"/>
  <c r="AD89" i="6"/>
  <c r="AD90" i="6"/>
  <c r="AD91" i="6"/>
  <c r="AB76" i="6"/>
  <c r="AB77" i="6"/>
  <c r="AB78" i="6"/>
  <c r="AB79" i="6"/>
  <c r="AB80" i="6"/>
  <c r="AB82" i="6"/>
  <c r="AB83" i="6"/>
  <c r="AB84" i="6"/>
  <c r="AB85" i="6"/>
  <c r="AB86" i="6"/>
  <c r="AB87" i="6"/>
  <c r="AB88" i="6"/>
  <c r="AB89" i="6"/>
  <c r="AB90" i="6"/>
  <c r="AB91" i="6"/>
  <c r="Z80" i="6"/>
  <c r="Z82" i="6"/>
  <c r="Z83" i="6"/>
  <c r="Z84" i="6"/>
  <c r="Z85" i="6"/>
  <c r="Z86" i="6"/>
  <c r="Z87" i="6"/>
  <c r="Z88" i="6"/>
  <c r="Z89" i="6"/>
  <c r="Z90" i="6"/>
  <c r="Z91" i="6"/>
  <c r="U79" i="6"/>
  <c r="V79" i="6" s="1"/>
  <c r="W79" i="6" s="1"/>
  <c r="X79" i="6" s="1"/>
  <c r="U80" i="6"/>
  <c r="V80" i="6" s="1"/>
  <c r="W80" i="6" s="1"/>
  <c r="X80" i="6" s="1"/>
  <c r="U82" i="6"/>
  <c r="V82" i="6" s="1"/>
  <c r="W82" i="6" s="1"/>
  <c r="X82" i="6" s="1"/>
  <c r="U83" i="6"/>
  <c r="V83" i="6" s="1"/>
  <c r="W83" i="6" s="1"/>
  <c r="X83" i="6" s="1"/>
  <c r="U84" i="6"/>
  <c r="V84" i="6" s="1"/>
  <c r="W84" i="6" s="1"/>
  <c r="X84" i="6" s="1"/>
  <c r="U85" i="6"/>
  <c r="U86" i="6"/>
  <c r="V86" i="6" s="1"/>
  <c r="W86" i="6" s="1"/>
  <c r="X86" i="6" s="1"/>
  <c r="U87" i="6"/>
  <c r="V87" i="6" s="1"/>
  <c r="W87" i="6" s="1"/>
  <c r="X87" i="6" s="1"/>
  <c r="U88" i="6"/>
  <c r="V88" i="6" s="1"/>
  <c r="W88" i="6" s="1"/>
  <c r="X88" i="6" s="1"/>
  <c r="U89" i="6"/>
  <c r="V89" i="6" s="1"/>
  <c r="W89" i="6" s="1"/>
  <c r="X89" i="6" s="1"/>
  <c r="U90" i="6"/>
  <c r="V90" i="6" s="1"/>
  <c r="W90" i="6" s="1"/>
  <c r="X90" i="6" s="1"/>
  <c r="U91" i="6"/>
  <c r="V91" i="6" s="1"/>
  <c r="W91" i="6" s="1"/>
  <c r="X91" i="6" s="1"/>
  <c r="S80" i="6"/>
  <c r="S81" i="6"/>
  <c r="S82" i="6"/>
  <c r="S83" i="6"/>
  <c r="S84" i="6"/>
  <c r="S85" i="6"/>
  <c r="S86" i="6"/>
  <c r="S87" i="6"/>
  <c r="S88" i="6"/>
  <c r="S89" i="6"/>
  <c r="S90" i="6"/>
  <c r="S91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P79" i="6"/>
  <c r="P80" i="6"/>
  <c r="P81" i="6"/>
  <c r="P83" i="6"/>
  <c r="P84" i="6"/>
  <c r="P85" i="6"/>
  <c r="P86" i="6"/>
  <c r="P87" i="6"/>
  <c r="P88" i="6"/>
  <c r="P89" i="6"/>
  <c r="P90" i="6"/>
  <c r="P91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L80" i="6"/>
  <c r="L81" i="6"/>
  <c r="L82" i="6"/>
  <c r="L83" i="6"/>
  <c r="L84" i="6"/>
  <c r="L85" i="6"/>
  <c r="L86" i="6"/>
  <c r="L87" i="6"/>
  <c r="L88" i="6"/>
  <c r="L89" i="6"/>
  <c r="L90" i="6"/>
  <c r="L91" i="6"/>
  <c r="F81" i="6"/>
  <c r="F82" i="6"/>
  <c r="F83" i="6"/>
  <c r="F84" i="6"/>
  <c r="F85" i="6"/>
  <c r="F86" i="6"/>
  <c r="F87" i="6"/>
  <c r="F88" i="6"/>
  <c r="L78" i="6"/>
  <c r="L79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H77" i="6"/>
  <c r="H78" i="6"/>
  <c r="H79" i="6"/>
  <c r="H80" i="6"/>
  <c r="H81" i="6"/>
  <c r="H82" i="6"/>
  <c r="H83" i="6"/>
  <c r="H84" i="6"/>
  <c r="H85" i="6"/>
  <c r="H86" i="6"/>
  <c r="H87" i="6"/>
  <c r="G76" i="6"/>
  <c r="G77" i="6"/>
  <c r="G78" i="6"/>
  <c r="G79" i="6"/>
  <c r="G80" i="6"/>
  <c r="G81" i="6"/>
  <c r="G82" i="6"/>
  <c r="G83" i="6"/>
  <c r="G84" i="6"/>
  <c r="G85" i="6"/>
  <c r="G86" i="6"/>
  <c r="G87" i="6"/>
  <c r="G75" i="6"/>
  <c r="F70" i="6"/>
  <c r="F71" i="6"/>
  <c r="F72" i="6"/>
  <c r="F73" i="6"/>
  <c r="F74" i="6"/>
  <c r="F75" i="6"/>
  <c r="F76" i="6"/>
  <c r="F77" i="6"/>
  <c r="F78" i="6"/>
  <c r="F79" i="6"/>
  <c r="F80" i="6"/>
  <c r="F66" i="6"/>
  <c r="AF36" i="6"/>
  <c r="F35" i="6"/>
  <c r="K18" i="6"/>
  <c r="AK43" i="6"/>
  <c r="AQ121" i="6" l="1"/>
  <c r="I97" i="10"/>
  <c r="AQ80" i="6"/>
  <c r="AQ97" i="6"/>
  <c r="AQ86" i="6"/>
  <c r="AQ94" i="6"/>
  <c r="AQ90" i="6"/>
  <c r="AQ87" i="6"/>
  <c r="AQ92" i="6"/>
  <c r="AQ98" i="6"/>
  <c r="AQ89" i="6"/>
  <c r="AQ84" i="6"/>
  <c r="AQ88" i="6"/>
  <c r="AQ95" i="6"/>
  <c r="AQ93" i="6"/>
  <c r="AQ82" i="6"/>
  <c r="AQ83" i="6"/>
  <c r="AQ81" i="6"/>
  <c r="AQ96" i="6"/>
  <c r="AQ109" i="6"/>
  <c r="AQ110" i="6"/>
  <c r="AQ111" i="6"/>
  <c r="AQ115" i="6"/>
  <c r="AQ116" i="6"/>
  <c r="AQ106" i="6"/>
  <c r="AQ107" i="6"/>
  <c r="AQ108" i="6"/>
  <c r="AQ112" i="6"/>
  <c r="AQ113" i="6"/>
  <c r="AQ114" i="6"/>
  <c r="D100" i="10"/>
  <c r="D101" i="10"/>
  <c r="D102" i="10"/>
  <c r="D103" i="10"/>
  <c r="D104" i="10"/>
  <c r="D105" i="10"/>
  <c r="W100" i="6"/>
  <c r="E100" i="10"/>
  <c r="W101" i="6"/>
  <c r="E101" i="10"/>
  <c r="W102" i="6"/>
  <c r="E102" i="10"/>
  <c r="E103" i="10"/>
  <c r="W104" i="6"/>
  <c r="E104" i="10"/>
  <c r="W105" i="6"/>
  <c r="E105" i="10"/>
  <c r="I98" i="10"/>
  <c r="E79" i="10"/>
  <c r="D79" i="10"/>
  <c r="D80" i="10"/>
  <c r="E81" i="10"/>
  <c r="D81" i="10"/>
  <c r="D83" i="10"/>
  <c r="D84" i="10"/>
  <c r="D85" i="10"/>
  <c r="D86" i="10"/>
  <c r="D87" i="10"/>
  <c r="D88" i="10"/>
  <c r="F79" i="10"/>
  <c r="F80" i="10"/>
  <c r="F81" i="10"/>
  <c r="F82" i="10"/>
  <c r="F83" i="10"/>
  <c r="F84" i="10"/>
  <c r="F86" i="10"/>
  <c r="F87" i="10"/>
  <c r="E80" i="10"/>
  <c r="D92" i="10"/>
  <c r="E96" i="10"/>
  <c r="D97" i="10"/>
  <c r="F97" i="10"/>
  <c r="E98" i="10"/>
  <c r="E82" i="10"/>
  <c r="E83" i="10"/>
  <c r="E84" i="10"/>
  <c r="E86" i="10"/>
  <c r="E87" i="10"/>
  <c r="D82" i="10"/>
  <c r="E92" i="10"/>
  <c r="F92" i="10"/>
  <c r="D93" i="10"/>
  <c r="E93" i="10"/>
  <c r="F93" i="10"/>
  <c r="D94" i="10"/>
  <c r="E94" i="10"/>
  <c r="F94" i="10"/>
  <c r="D95" i="10"/>
  <c r="E95" i="10"/>
  <c r="F95" i="10"/>
  <c r="D96" i="10"/>
  <c r="F96" i="10"/>
  <c r="E97" i="10"/>
  <c r="D98" i="10"/>
  <c r="F99" i="10"/>
  <c r="F88" i="10"/>
  <c r="F89" i="10"/>
  <c r="F90" i="10"/>
  <c r="F91" i="10"/>
  <c r="E88" i="10"/>
  <c r="E89" i="10"/>
  <c r="E90" i="10"/>
  <c r="E91" i="10"/>
  <c r="D89" i="10"/>
  <c r="D90" i="10"/>
  <c r="I93" i="10"/>
  <c r="I94" i="10"/>
  <c r="I95" i="10"/>
  <c r="I96" i="10"/>
  <c r="I78" i="10"/>
  <c r="I79" i="10"/>
  <c r="I81" i="10"/>
  <c r="I77" i="10"/>
  <c r="G80" i="10"/>
  <c r="G81" i="10"/>
  <c r="I92" i="10"/>
  <c r="I80" i="10"/>
  <c r="H96" i="10"/>
  <c r="H97" i="10"/>
  <c r="H98" i="10"/>
  <c r="G93" i="10"/>
  <c r="G94" i="10"/>
  <c r="G95" i="10"/>
  <c r="G96" i="10"/>
  <c r="G97" i="10"/>
  <c r="G99" i="10"/>
  <c r="I87" i="10"/>
  <c r="I88" i="10"/>
  <c r="I89" i="10"/>
  <c r="I90" i="10"/>
  <c r="I91" i="10"/>
  <c r="I99" i="10"/>
  <c r="H80" i="10"/>
  <c r="H81" i="10"/>
  <c r="H82" i="10"/>
  <c r="H83" i="10"/>
  <c r="H84" i="10"/>
  <c r="H85" i="10"/>
  <c r="H86" i="10"/>
  <c r="H87" i="10"/>
  <c r="H88" i="10"/>
  <c r="H92" i="10"/>
  <c r="H93" i="10"/>
  <c r="H94" i="10"/>
  <c r="H95" i="10"/>
  <c r="G92" i="10"/>
  <c r="G90" i="10"/>
  <c r="G91" i="10"/>
  <c r="I82" i="10"/>
  <c r="I83" i="10"/>
  <c r="I84" i="10"/>
  <c r="I85" i="10"/>
  <c r="I86" i="10"/>
  <c r="H89" i="10"/>
  <c r="H91" i="10"/>
  <c r="H99" i="10"/>
  <c r="G83" i="10"/>
  <c r="G86" i="10"/>
  <c r="G87" i="10"/>
  <c r="G89" i="10"/>
  <c r="H90" i="10"/>
  <c r="G84" i="10"/>
  <c r="G88" i="10"/>
  <c r="G82" i="10"/>
  <c r="I42" i="10"/>
  <c r="V85" i="6"/>
  <c r="Z77" i="6"/>
  <c r="H77" i="10" s="1"/>
  <c r="Z78" i="6"/>
  <c r="H78" i="10" s="1"/>
  <c r="Z79" i="6"/>
  <c r="H79" i="10" s="1"/>
  <c r="U77" i="6"/>
  <c r="V77" i="6" s="1"/>
  <c r="W77" i="6" s="1"/>
  <c r="X77" i="6" s="1"/>
  <c r="U78" i="6"/>
  <c r="V78" i="6" s="1"/>
  <c r="W78" i="6" s="1"/>
  <c r="X78" i="6" s="1"/>
  <c r="S76" i="6"/>
  <c r="S77" i="6"/>
  <c r="S78" i="6"/>
  <c r="S79" i="6"/>
  <c r="R77" i="6"/>
  <c r="R78" i="6"/>
  <c r="Q77" i="6"/>
  <c r="Q78" i="6"/>
  <c r="P77" i="6"/>
  <c r="P78" i="6"/>
  <c r="N77" i="6"/>
  <c r="N78" i="6"/>
  <c r="M77" i="6"/>
  <c r="M78" i="6"/>
  <c r="L77" i="6"/>
  <c r="AQ79" i="6" l="1"/>
  <c r="AQ78" i="6"/>
  <c r="AQ77" i="6"/>
  <c r="E85" i="10"/>
  <c r="X100" i="6"/>
  <c r="AQ100" i="6" s="1"/>
  <c r="F100" i="10"/>
  <c r="X101" i="6"/>
  <c r="AQ101" i="6" s="1"/>
  <c r="F101" i="10"/>
  <c r="X102" i="6"/>
  <c r="AQ102" i="6" s="1"/>
  <c r="F102" i="10"/>
  <c r="X103" i="6"/>
  <c r="AQ103" i="6" s="1"/>
  <c r="F103" i="10"/>
  <c r="X104" i="6"/>
  <c r="AQ104" i="6" s="1"/>
  <c r="F104" i="10"/>
  <c r="X105" i="6"/>
  <c r="AQ105" i="6" s="1"/>
  <c r="F105" i="10"/>
  <c r="G98" i="10"/>
  <c r="F98" i="10"/>
  <c r="J98" i="10" s="1"/>
  <c r="D78" i="10"/>
  <c r="F78" i="10"/>
  <c r="E78" i="10"/>
  <c r="D77" i="10"/>
  <c r="F77" i="10"/>
  <c r="E77" i="10"/>
  <c r="J80" i="10"/>
  <c r="J97" i="10"/>
  <c r="J82" i="10"/>
  <c r="J81" i="10"/>
  <c r="J86" i="10"/>
  <c r="J96" i="10"/>
  <c r="J87" i="10"/>
  <c r="J84" i="10"/>
  <c r="J83" i="10"/>
  <c r="J92" i="10"/>
  <c r="J95" i="10"/>
  <c r="J89" i="10"/>
  <c r="J90" i="10"/>
  <c r="G77" i="10"/>
  <c r="G78" i="10"/>
  <c r="J93" i="10"/>
  <c r="J94" i="10"/>
  <c r="J88" i="10"/>
  <c r="W85" i="6"/>
  <c r="F85" i="10" s="1"/>
  <c r="G79" i="10"/>
  <c r="J79" i="10" s="1"/>
  <c r="Z70" i="6"/>
  <c r="AL69" i="6"/>
  <c r="AL70" i="6"/>
  <c r="AL71" i="6"/>
  <c r="AL72" i="6"/>
  <c r="AL73" i="6"/>
  <c r="AL74" i="6"/>
  <c r="AL75" i="6"/>
  <c r="AL76" i="6"/>
  <c r="AK69" i="6"/>
  <c r="AK70" i="6"/>
  <c r="AK71" i="6"/>
  <c r="AK72" i="6"/>
  <c r="AK73" i="6"/>
  <c r="AK74" i="6"/>
  <c r="AK75" i="6"/>
  <c r="AK76" i="6"/>
  <c r="AI69" i="6"/>
  <c r="AI70" i="6"/>
  <c r="AI71" i="6"/>
  <c r="AI72" i="6"/>
  <c r="AI73" i="6"/>
  <c r="AI74" i="6"/>
  <c r="AI75" i="6"/>
  <c r="AI76" i="6"/>
  <c r="AH69" i="6"/>
  <c r="AH70" i="6"/>
  <c r="AH71" i="6"/>
  <c r="AH72" i="6"/>
  <c r="AH73" i="6"/>
  <c r="AH74" i="6"/>
  <c r="AH75" i="6"/>
  <c r="AH76" i="6"/>
  <c r="AF69" i="6"/>
  <c r="AF70" i="6"/>
  <c r="AF71" i="6"/>
  <c r="AF72" i="6"/>
  <c r="AF73" i="6"/>
  <c r="AF74" i="6"/>
  <c r="AD69" i="6"/>
  <c r="AD70" i="6"/>
  <c r="AD71" i="6"/>
  <c r="AD72" i="6"/>
  <c r="AD73" i="6"/>
  <c r="AD74" i="6"/>
  <c r="AD75" i="6"/>
  <c r="AB69" i="6"/>
  <c r="AB70" i="6"/>
  <c r="AB71" i="6"/>
  <c r="AB72" i="6"/>
  <c r="AB73" i="6"/>
  <c r="AB74" i="6"/>
  <c r="AB75" i="6"/>
  <c r="Z69" i="6"/>
  <c r="Z71" i="6"/>
  <c r="Z72" i="6"/>
  <c r="Z73" i="6"/>
  <c r="Z74" i="6"/>
  <c r="Z75" i="6"/>
  <c r="Z76" i="6"/>
  <c r="U69" i="6"/>
  <c r="V69" i="6" s="1"/>
  <c r="W69" i="6" s="1"/>
  <c r="X69" i="6" s="1"/>
  <c r="U70" i="6"/>
  <c r="V70" i="6" s="1"/>
  <c r="W70" i="6" s="1"/>
  <c r="X70" i="6" s="1"/>
  <c r="U71" i="6"/>
  <c r="V71" i="6" s="1"/>
  <c r="W71" i="6" s="1"/>
  <c r="X71" i="6" s="1"/>
  <c r="U72" i="6"/>
  <c r="V72" i="6" s="1"/>
  <c r="W72" i="6" s="1"/>
  <c r="X72" i="6" s="1"/>
  <c r="U73" i="6"/>
  <c r="V73" i="6" s="1"/>
  <c r="W73" i="6" s="1"/>
  <c r="X73" i="6" s="1"/>
  <c r="U74" i="6"/>
  <c r="V74" i="6" s="1"/>
  <c r="W74" i="6" s="1"/>
  <c r="X74" i="6" s="1"/>
  <c r="U75" i="6"/>
  <c r="V75" i="6" s="1"/>
  <c r="W75" i="6" s="1"/>
  <c r="X75" i="6" s="1"/>
  <c r="U76" i="6"/>
  <c r="V76" i="6" s="1"/>
  <c r="W76" i="6" s="1"/>
  <c r="X76" i="6" s="1"/>
  <c r="S69" i="6"/>
  <c r="S70" i="6"/>
  <c r="S71" i="6"/>
  <c r="S72" i="6"/>
  <c r="S73" i="6"/>
  <c r="S74" i="6"/>
  <c r="S75" i="6"/>
  <c r="R69" i="6"/>
  <c r="R70" i="6"/>
  <c r="R71" i="6"/>
  <c r="R72" i="6"/>
  <c r="R73" i="6"/>
  <c r="R74" i="6"/>
  <c r="R75" i="6"/>
  <c r="R76" i="6"/>
  <c r="Q69" i="6"/>
  <c r="Q70" i="6"/>
  <c r="Q71" i="6"/>
  <c r="Q72" i="6"/>
  <c r="Q73" i="6"/>
  <c r="Q74" i="6"/>
  <c r="Q75" i="6"/>
  <c r="Q76" i="6"/>
  <c r="P69" i="6"/>
  <c r="P70" i="6"/>
  <c r="P71" i="6"/>
  <c r="P72" i="6"/>
  <c r="P73" i="6"/>
  <c r="P74" i="6"/>
  <c r="P75" i="6"/>
  <c r="P76" i="6"/>
  <c r="N69" i="6"/>
  <c r="N70" i="6"/>
  <c r="N71" i="6"/>
  <c r="N72" i="6"/>
  <c r="N73" i="6"/>
  <c r="N74" i="6"/>
  <c r="N75" i="6"/>
  <c r="N76" i="6"/>
  <c r="M69" i="6"/>
  <c r="M70" i="6"/>
  <c r="M71" i="6"/>
  <c r="M72" i="6"/>
  <c r="M73" i="6"/>
  <c r="M74" i="6"/>
  <c r="M75" i="6"/>
  <c r="M76" i="6"/>
  <c r="L71" i="6"/>
  <c r="L72" i="6"/>
  <c r="L73" i="6"/>
  <c r="L74" i="6"/>
  <c r="L75" i="6"/>
  <c r="L76" i="6"/>
  <c r="K70" i="6"/>
  <c r="K71" i="6"/>
  <c r="K72" i="6"/>
  <c r="K73" i="6"/>
  <c r="K74" i="6"/>
  <c r="K75" i="6"/>
  <c r="I71" i="6"/>
  <c r="I72" i="6"/>
  <c r="I73" i="6"/>
  <c r="I74" i="6"/>
  <c r="I75" i="6"/>
  <c r="I76" i="6"/>
  <c r="H70" i="6"/>
  <c r="H71" i="6"/>
  <c r="H72" i="6"/>
  <c r="H73" i="6"/>
  <c r="H74" i="6"/>
  <c r="H75" i="6"/>
  <c r="H76" i="6"/>
  <c r="G69" i="6"/>
  <c r="G70" i="6"/>
  <c r="G71" i="6"/>
  <c r="G72" i="6"/>
  <c r="G73" i="6"/>
  <c r="G74" i="6"/>
  <c r="F69" i="6"/>
  <c r="L70" i="6"/>
  <c r="I70" i="6"/>
  <c r="AQ73" i="6" l="1"/>
  <c r="AQ74" i="6"/>
  <c r="AQ72" i="6"/>
  <c r="AQ75" i="6"/>
  <c r="AQ76" i="6"/>
  <c r="AQ70" i="6"/>
  <c r="AQ71" i="6"/>
  <c r="D76" i="10"/>
  <c r="D70" i="10"/>
  <c r="D71" i="10"/>
  <c r="D72" i="10"/>
  <c r="D73" i="10"/>
  <c r="D75" i="10"/>
  <c r="F71" i="10"/>
  <c r="F72" i="10"/>
  <c r="F73" i="10"/>
  <c r="F74" i="10"/>
  <c r="F75" i="10"/>
  <c r="F76" i="10"/>
  <c r="E71" i="10"/>
  <c r="E72" i="10"/>
  <c r="E73" i="10"/>
  <c r="E74" i="10"/>
  <c r="E76" i="10"/>
  <c r="F70" i="10"/>
  <c r="E75" i="10"/>
  <c r="D74" i="10"/>
  <c r="E70" i="10"/>
  <c r="I75" i="10"/>
  <c r="I74" i="10"/>
  <c r="I69" i="10"/>
  <c r="I70" i="10"/>
  <c r="I71" i="10"/>
  <c r="I73" i="10"/>
  <c r="G70" i="10"/>
  <c r="I72" i="10"/>
  <c r="J78" i="10"/>
  <c r="J77" i="10"/>
  <c r="I76" i="10"/>
  <c r="G71" i="10"/>
  <c r="G72" i="10"/>
  <c r="G73" i="10"/>
  <c r="G74" i="10"/>
  <c r="G75" i="10"/>
  <c r="G76" i="10"/>
  <c r="H69" i="10"/>
  <c r="H71" i="10"/>
  <c r="H72" i="10"/>
  <c r="H73" i="10"/>
  <c r="H74" i="10"/>
  <c r="H75" i="10"/>
  <c r="H76" i="10"/>
  <c r="H70" i="10"/>
  <c r="X85" i="6"/>
  <c r="AQ85" i="6" s="1"/>
  <c r="AD45" i="6"/>
  <c r="AB45" i="6"/>
  <c r="Z45" i="6"/>
  <c r="AL63" i="6"/>
  <c r="AL64" i="6"/>
  <c r="AL65" i="6"/>
  <c r="AL66" i="6"/>
  <c r="AL67" i="6"/>
  <c r="AL68" i="6"/>
  <c r="AK63" i="6"/>
  <c r="AK64" i="6"/>
  <c r="AK65" i="6"/>
  <c r="AK66" i="6"/>
  <c r="AK67" i="6"/>
  <c r="AK68" i="6"/>
  <c r="AI63" i="6"/>
  <c r="AI64" i="6"/>
  <c r="AI65" i="6"/>
  <c r="AI66" i="6"/>
  <c r="AI67" i="6"/>
  <c r="AI68" i="6"/>
  <c r="AH63" i="6"/>
  <c r="AH64" i="6"/>
  <c r="AH65" i="6"/>
  <c r="AH66" i="6"/>
  <c r="AH67" i="6"/>
  <c r="AH68" i="6"/>
  <c r="AF63" i="6"/>
  <c r="AF64" i="6"/>
  <c r="AF65" i="6"/>
  <c r="AF66" i="6"/>
  <c r="AF67" i="6"/>
  <c r="AF68" i="6"/>
  <c r="AD64" i="6"/>
  <c r="AD65" i="6"/>
  <c r="AD67" i="6"/>
  <c r="AD68" i="6"/>
  <c r="AB64" i="6"/>
  <c r="AB65" i="6"/>
  <c r="AB67" i="6"/>
  <c r="AB68" i="6"/>
  <c r="Z64" i="6"/>
  <c r="Z65" i="6"/>
  <c r="Z67" i="6"/>
  <c r="Z68" i="6"/>
  <c r="U64" i="6"/>
  <c r="V64" i="6" s="1"/>
  <c r="W64" i="6" s="1"/>
  <c r="U65" i="6"/>
  <c r="V65" i="6" s="1"/>
  <c r="W65" i="6" s="1"/>
  <c r="X65" i="6" s="1"/>
  <c r="U66" i="6"/>
  <c r="V66" i="6" s="1"/>
  <c r="W66" i="6" s="1"/>
  <c r="X66" i="6" s="1"/>
  <c r="U67" i="6"/>
  <c r="V67" i="6" s="1"/>
  <c r="W67" i="6" s="1"/>
  <c r="X67" i="6" s="1"/>
  <c r="U68" i="6"/>
  <c r="V68" i="6" s="1"/>
  <c r="W68" i="6" s="1"/>
  <c r="X68" i="6" s="1"/>
  <c r="S64" i="6"/>
  <c r="S65" i="6"/>
  <c r="S66" i="6"/>
  <c r="S67" i="6"/>
  <c r="S68" i="6"/>
  <c r="R64" i="6"/>
  <c r="R65" i="6"/>
  <c r="R66" i="6"/>
  <c r="R67" i="6"/>
  <c r="R68" i="6"/>
  <c r="Q64" i="6"/>
  <c r="Q65" i="6"/>
  <c r="Q66" i="6"/>
  <c r="Q67" i="6"/>
  <c r="Q68" i="6"/>
  <c r="P64" i="6"/>
  <c r="P65" i="6"/>
  <c r="P66" i="6"/>
  <c r="P67" i="6"/>
  <c r="P68" i="6"/>
  <c r="N64" i="6"/>
  <c r="N65" i="6"/>
  <c r="N66" i="6"/>
  <c r="N67" i="6"/>
  <c r="N68" i="6"/>
  <c r="M64" i="6"/>
  <c r="M65" i="6"/>
  <c r="M66" i="6"/>
  <c r="M67" i="6"/>
  <c r="M68" i="6"/>
  <c r="L64" i="6"/>
  <c r="L65" i="6"/>
  <c r="L66" i="6"/>
  <c r="L67" i="6"/>
  <c r="L68" i="6"/>
  <c r="L69" i="6"/>
  <c r="E69" i="10" s="1"/>
  <c r="K64" i="6"/>
  <c r="K65" i="6"/>
  <c r="K66" i="6"/>
  <c r="K67" i="6"/>
  <c r="K68" i="6"/>
  <c r="K69" i="6"/>
  <c r="D69" i="10" s="1"/>
  <c r="I64" i="6"/>
  <c r="I65" i="6"/>
  <c r="I66" i="6"/>
  <c r="I67" i="6"/>
  <c r="I68" i="6"/>
  <c r="I69" i="6"/>
  <c r="G69" i="10" s="1"/>
  <c r="H64" i="6"/>
  <c r="H65" i="6"/>
  <c r="H66" i="6"/>
  <c r="H67" i="6"/>
  <c r="H68" i="6"/>
  <c r="H69" i="6"/>
  <c r="G64" i="6"/>
  <c r="G65" i="6"/>
  <c r="G66" i="6"/>
  <c r="G67" i="6"/>
  <c r="G68" i="6"/>
  <c r="F64" i="6"/>
  <c r="F65" i="6"/>
  <c r="F67" i="6"/>
  <c r="F68" i="6"/>
  <c r="F63" i="6"/>
  <c r="AD63" i="6"/>
  <c r="AB63" i="6"/>
  <c r="Z63" i="6"/>
  <c r="U63" i="6"/>
  <c r="V63" i="6" s="1"/>
  <c r="W63" i="6" s="1"/>
  <c r="X63" i="6" s="1"/>
  <c r="P63" i="6"/>
  <c r="Q63" i="6"/>
  <c r="R63" i="6"/>
  <c r="S63" i="6"/>
  <c r="K63" i="6"/>
  <c r="L63" i="6"/>
  <c r="M63" i="6"/>
  <c r="N63" i="6"/>
  <c r="G63" i="6"/>
  <c r="H63" i="6"/>
  <c r="I63" i="6"/>
  <c r="K91" i="6"/>
  <c r="AQ65" i="6" l="1"/>
  <c r="AQ67" i="6"/>
  <c r="AQ66" i="6"/>
  <c r="AQ68" i="6"/>
  <c r="AQ63" i="6"/>
  <c r="F69" i="10"/>
  <c r="J69" i="10" s="1"/>
  <c r="AQ69" i="6"/>
  <c r="D91" i="10"/>
  <c r="J91" i="10" s="1"/>
  <c r="AQ91" i="6"/>
  <c r="E63" i="10"/>
  <c r="E65" i="10"/>
  <c r="E66" i="10"/>
  <c r="E67" i="10"/>
  <c r="E68" i="10"/>
  <c r="D64" i="10"/>
  <c r="D65" i="10"/>
  <c r="D67" i="10"/>
  <c r="D68" i="10"/>
  <c r="F63" i="10"/>
  <c r="F64" i="10"/>
  <c r="F65" i="10"/>
  <c r="F66" i="10"/>
  <c r="F67" i="10"/>
  <c r="F68" i="10"/>
  <c r="E64" i="10"/>
  <c r="D63" i="10"/>
  <c r="D66" i="10"/>
  <c r="J74" i="10"/>
  <c r="J71" i="10"/>
  <c r="J73" i="10"/>
  <c r="J70" i="10"/>
  <c r="J76" i="10"/>
  <c r="I63" i="10"/>
  <c r="I64" i="10"/>
  <c r="I65" i="10"/>
  <c r="I67" i="10"/>
  <c r="I68" i="10"/>
  <c r="I66" i="10"/>
  <c r="J72" i="10"/>
  <c r="J75" i="10"/>
  <c r="G63" i="10"/>
  <c r="H66" i="10"/>
  <c r="H64" i="10"/>
  <c r="H65" i="10"/>
  <c r="H67" i="10"/>
  <c r="H68" i="10"/>
  <c r="G65" i="10"/>
  <c r="G66" i="10"/>
  <c r="G67" i="10"/>
  <c r="G68" i="10"/>
  <c r="H63" i="10"/>
  <c r="G85" i="10"/>
  <c r="X64" i="6"/>
  <c r="AQ64" i="6" s="1"/>
  <c r="J85" i="10" l="1"/>
  <c r="J63" i="10"/>
  <c r="J65" i="10"/>
  <c r="J67" i="10"/>
  <c r="J68" i="10"/>
  <c r="J66" i="10"/>
  <c r="G64" i="10"/>
  <c r="J64" i="10" s="1"/>
  <c r="AL62" i="6"/>
  <c r="AK62" i="6"/>
  <c r="AI62" i="6"/>
  <c r="AH62" i="6"/>
  <c r="U62" i="6"/>
  <c r="V62" i="6" s="1"/>
  <c r="W62" i="6" s="1"/>
  <c r="X62" i="6" s="1"/>
  <c r="S62" i="6"/>
  <c r="R62" i="6"/>
  <c r="Q62" i="6"/>
  <c r="P62" i="6"/>
  <c r="N62" i="6"/>
  <c r="M62" i="6"/>
  <c r="L62" i="6"/>
  <c r="K62" i="6"/>
  <c r="I62" i="6"/>
  <c r="H62" i="6"/>
  <c r="G62" i="6"/>
  <c r="F62" i="6"/>
  <c r="AL61" i="6"/>
  <c r="AK61" i="6"/>
  <c r="AI61" i="6"/>
  <c r="AH61" i="6"/>
  <c r="AF61" i="6"/>
  <c r="V61" i="6"/>
  <c r="W61" i="6" s="1"/>
  <c r="X61" i="6" s="1"/>
  <c r="S61" i="6"/>
  <c r="R61" i="6"/>
  <c r="Q61" i="6"/>
  <c r="P61" i="6"/>
  <c r="N61" i="6"/>
  <c r="M61" i="6"/>
  <c r="L61" i="6"/>
  <c r="K61" i="6"/>
  <c r="I61" i="6"/>
  <c r="H61" i="6"/>
  <c r="G61" i="6"/>
  <c r="F61" i="6"/>
  <c r="AQ62" i="6" l="1"/>
  <c r="AQ61" i="6"/>
  <c r="E62" i="10"/>
  <c r="D62" i="10"/>
  <c r="F61" i="10"/>
  <c r="E61" i="10"/>
  <c r="D61" i="10"/>
  <c r="F62" i="10"/>
  <c r="I61" i="10"/>
  <c r="H61" i="10"/>
  <c r="G61" i="10"/>
  <c r="I62" i="10"/>
  <c r="G62" i="10"/>
  <c r="H62" i="10"/>
  <c r="J61" i="10" l="1"/>
  <c r="J62" i="10"/>
  <c r="F60" i="6"/>
  <c r="Z35" i="6"/>
  <c r="F59" i="6"/>
  <c r="F58" i="6"/>
  <c r="AL4" i="6" l="1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7" i="6"/>
  <c r="AF38" i="6"/>
  <c r="AF39" i="6"/>
  <c r="AF40" i="6"/>
  <c r="AF41" i="6"/>
  <c r="AF43" i="6"/>
  <c r="AF44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7" i="6"/>
  <c r="AD38" i="6"/>
  <c r="AD39" i="6"/>
  <c r="AD40" i="6"/>
  <c r="AD41" i="6"/>
  <c r="AD44" i="6"/>
  <c r="AD46" i="6"/>
  <c r="AD47" i="6"/>
  <c r="AD48" i="6"/>
  <c r="AD49" i="6"/>
  <c r="AD50" i="6"/>
  <c r="AD51" i="6"/>
  <c r="AD52" i="6"/>
  <c r="AD53" i="6"/>
  <c r="AD56" i="6"/>
  <c r="AD57" i="6"/>
  <c r="AD58" i="6"/>
  <c r="AD59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7" i="6"/>
  <c r="AB38" i="6"/>
  <c r="AB39" i="6"/>
  <c r="AB40" i="6"/>
  <c r="AB41" i="6"/>
  <c r="AB44" i="6"/>
  <c r="AB46" i="6"/>
  <c r="AB47" i="6"/>
  <c r="AB48" i="6"/>
  <c r="AB49" i="6"/>
  <c r="AB50" i="6"/>
  <c r="AB51" i="6"/>
  <c r="AB52" i="6"/>
  <c r="AB53" i="6"/>
  <c r="AB56" i="6"/>
  <c r="AB57" i="6"/>
  <c r="AB58" i="6"/>
  <c r="AB59" i="6"/>
  <c r="Z24" i="6"/>
  <c r="Z25" i="6"/>
  <c r="Z26" i="6"/>
  <c r="Z27" i="6"/>
  <c r="Z28" i="6"/>
  <c r="Z29" i="6"/>
  <c r="Z30" i="6"/>
  <c r="Z31" i="6"/>
  <c r="Z32" i="6"/>
  <c r="Z33" i="6"/>
  <c r="Z34" i="6"/>
  <c r="Z37" i="6"/>
  <c r="Z38" i="6"/>
  <c r="Z39" i="6"/>
  <c r="Z40" i="6"/>
  <c r="Z41" i="6"/>
  <c r="Z44" i="6"/>
  <c r="Z46" i="6"/>
  <c r="Z47" i="6"/>
  <c r="Z48" i="6"/>
  <c r="Z49" i="6"/>
  <c r="Z50" i="6"/>
  <c r="Z51" i="6"/>
  <c r="Z52" i="6"/>
  <c r="Z53" i="6"/>
  <c r="Z56" i="6"/>
  <c r="Z57" i="6"/>
  <c r="Z58" i="6"/>
  <c r="Z59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9" i="6"/>
  <c r="Z20" i="6"/>
  <c r="Z21" i="6"/>
  <c r="Z22" i="6"/>
  <c r="Z23" i="6"/>
  <c r="U4" i="6"/>
  <c r="V4" i="6" s="1"/>
  <c r="W4" i="6" s="1"/>
  <c r="X4" i="6" s="1"/>
  <c r="U5" i="6"/>
  <c r="V5" i="6" s="1"/>
  <c r="U6" i="6"/>
  <c r="V6" i="6" s="1"/>
  <c r="W6" i="6" s="1"/>
  <c r="X6" i="6" s="1"/>
  <c r="U7" i="6"/>
  <c r="V7" i="6" s="1"/>
  <c r="W7" i="6" s="1"/>
  <c r="X7" i="6" s="1"/>
  <c r="U8" i="6"/>
  <c r="V8" i="6" s="1"/>
  <c r="W8" i="6" s="1"/>
  <c r="X8" i="6" s="1"/>
  <c r="U9" i="6"/>
  <c r="V9" i="6" s="1"/>
  <c r="W9" i="6" s="1"/>
  <c r="X9" i="6" s="1"/>
  <c r="U10" i="6"/>
  <c r="V10" i="6" s="1"/>
  <c r="W10" i="6" s="1"/>
  <c r="X10" i="6" s="1"/>
  <c r="U11" i="6"/>
  <c r="V11" i="6" s="1"/>
  <c r="W11" i="6" s="1"/>
  <c r="X11" i="6" s="1"/>
  <c r="U12" i="6"/>
  <c r="V12" i="6" s="1"/>
  <c r="W12" i="6" s="1"/>
  <c r="X12" i="6" s="1"/>
  <c r="U13" i="6"/>
  <c r="V13" i="6" s="1"/>
  <c r="W13" i="6" s="1"/>
  <c r="X13" i="6" s="1"/>
  <c r="U14" i="6"/>
  <c r="V14" i="6" s="1"/>
  <c r="W14" i="6" s="1"/>
  <c r="X14" i="6" s="1"/>
  <c r="U15" i="6"/>
  <c r="V15" i="6" s="1"/>
  <c r="W15" i="6" s="1"/>
  <c r="X15" i="6" s="1"/>
  <c r="U16" i="6"/>
  <c r="V16" i="6" s="1"/>
  <c r="W16" i="6" s="1"/>
  <c r="X16" i="6" s="1"/>
  <c r="U17" i="6"/>
  <c r="V17" i="6" s="1"/>
  <c r="W17" i="6" s="1"/>
  <c r="X17" i="6" s="1"/>
  <c r="U18" i="6"/>
  <c r="V18" i="6" s="1"/>
  <c r="W18" i="6" s="1"/>
  <c r="X18" i="6" s="1"/>
  <c r="U19" i="6"/>
  <c r="V19" i="6" s="1"/>
  <c r="W19" i="6" s="1"/>
  <c r="X19" i="6" s="1"/>
  <c r="U20" i="6"/>
  <c r="V20" i="6" s="1"/>
  <c r="W20" i="6" s="1"/>
  <c r="X20" i="6" s="1"/>
  <c r="U21" i="6"/>
  <c r="V21" i="6" s="1"/>
  <c r="W21" i="6" s="1"/>
  <c r="X21" i="6" s="1"/>
  <c r="U22" i="6"/>
  <c r="V22" i="6" s="1"/>
  <c r="W22" i="6" s="1"/>
  <c r="X22" i="6" s="1"/>
  <c r="U23" i="6"/>
  <c r="V23" i="6" s="1"/>
  <c r="W23" i="6" s="1"/>
  <c r="X23" i="6" s="1"/>
  <c r="U24" i="6"/>
  <c r="V24" i="6" s="1"/>
  <c r="W24" i="6" s="1"/>
  <c r="X24" i="6" s="1"/>
  <c r="U25" i="6"/>
  <c r="V25" i="6" s="1"/>
  <c r="W25" i="6" s="1"/>
  <c r="X25" i="6" s="1"/>
  <c r="U26" i="6"/>
  <c r="V26" i="6" s="1"/>
  <c r="W26" i="6" s="1"/>
  <c r="X26" i="6" s="1"/>
  <c r="U27" i="6"/>
  <c r="V27" i="6" s="1"/>
  <c r="W27" i="6" s="1"/>
  <c r="X27" i="6" s="1"/>
  <c r="U28" i="6"/>
  <c r="V28" i="6" s="1"/>
  <c r="W28" i="6" s="1"/>
  <c r="X28" i="6" s="1"/>
  <c r="U29" i="6"/>
  <c r="V29" i="6" s="1"/>
  <c r="W29" i="6" s="1"/>
  <c r="X29" i="6" s="1"/>
  <c r="U30" i="6"/>
  <c r="V30" i="6" s="1"/>
  <c r="W30" i="6" s="1"/>
  <c r="X30" i="6" s="1"/>
  <c r="U31" i="6"/>
  <c r="V31" i="6" s="1"/>
  <c r="W31" i="6" s="1"/>
  <c r="X31" i="6" s="1"/>
  <c r="U32" i="6"/>
  <c r="V32" i="6" s="1"/>
  <c r="W32" i="6" s="1"/>
  <c r="X32" i="6" s="1"/>
  <c r="U33" i="6"/>
  <c r="V33" i="6" s="1"/>
  <c r="W33" i="6" s="1"/>
  <c r="X33" i="6" s="1"/>
  <c r="U34" i="6"/>
  <c r="V34" i="6" s="1"/>
  <c r="W34" i="6" s="1"/>
  <c r="X34" i="6" s="1"/>
  <c r="U35" i="6"/>
  <c r="V35" i="6" s="1"/>
  <c r="W35" i="6" s="1"/>
  <c r="X35" i="6" s="1"/>
  <c r="V36" i="6"/>
  <c r="W36" i="6" s="1"/>
  <c r="X36" i="6" s="1"/>
  <c r="U37" i="6"/>
  <c r="V37" i="6" s="1"/>
  <c r="W37" i="6" s="1"/>
  <c r="X37" i="6" s="1"/>
  <c r="U38" i="6"/>
  <c r="V38" i="6" s="1"/>
  <c r="W38" i="6" s="1"/>
  <c r="X38" i="6" s="1"/>
  <c r="U39" i="6"/>
  <c r="V39" i="6" s="1"/>
  <c r="W39" i="6" s="1"/>
  <c r="X39" i="6" s="1"/>
  <c r="U40" i="6"/>
  <c r="V40" i="6" s="1"/>
  <c r="W40" i="6" s="1"/>
  <c r="X40" i="6" s="1"/>
  <c r="U41" i="6"/>
  <c r="V41" i="6" s="1"/>
  <c r="W41" i="6" s="1"/>
  <c r="X41" i="6" s="1"/>
  <c r="V42" i="6"/>
  <c r="W42" i="6" s="1"/>
  <c r="X42" i="6" s="1"/>
  <c r="V43" i="6"/>
  <c r="W43" i="6" s="1"/>
  <c r="X43" i="6" s="1"/>
  <c r="U44" i="6"/>
  <c r="V44" i="6" s="1"/>
  <c r="W44" i="6" s="1"/>
  <c r="X44" i="6" s="1"/>
  <c r="U45" i="6"/>
  <c r="V45" i="6" s="1"/>
  <c r="W45" i="6" s="1"/>
  <c r="X45" i="6" s="1"/>
  <c r="U46" i="6"/>
  <c r="V46" i="6" s="1"/>
  <c r="W46" i="6" s="1"/>
  <c r="X46" i="6" s="1"/>
  <c r="U47" i="6"/>
  <c r="V47" i="6" s="1"/>
  <c r="W47" i="6" s="1"/>
  <c r="X47" i="6" s="1"/>
  <c r="U48" i="6"/>
  <c r="V48" i="6" s="1"/>
  <c r="W48" i="6" s="1"/>
  <c r="X48" i="6" s="1"/>
  <c r="U49" i="6"/>
  <c r="V49" i="6" s="1"/>
  <c r="W49" i="6" s="1"/>
  <c r="X49" i="6" s="1"/>
  <c r="U50" i="6"/>
  <c r="V50" i="6" s="1"/>
  <c r="W50" i="6" s="1"/>
  <c r="X50" i="6" s="1"/>
  <c r="U51" i="6"/>
  <c r="V51" i="6" s="1"/>
  <c r="W51" i="6" s="1"/>
  <c r="X51" i="6" s="1"/>
  <c r="U52" i="6"/>
  <c r="V52" i="6" s="1"/>
  <c r="W52" i="6" s="1"/>
  <c r="X52" i="6" s="1"/>
  <c r="U53" i="6"/>
  <c r="V53" i="6" s="1"/>
  <c r="W53" i="6" s="1"/>
  <c r="X53" i="6" s="1"/>
  <c r="V54" i="6"/>
  <c r="W54" i="6" s="1"/>
  <c r="X54" i="6" s="1"/>
  <c r="V55" i="6"/>
  <c r="W55" i="6" s="1"/>
  <c r="X55" i="6" s="1"/>
  <c r="U56" i="6"/>
  <c r="V56" i="6" s="1"/>
  <c r="W56" i="6" s="1"/>
  <c r="X56" i="6" s="1"/>
  <c r="U57" i="6"/>
  <c r="V57" i="6" s="1"/>
  <c r="W57" i="6" s="1"/>
  <c r="X57" i="6" s="1"/>
  <c r="U58" i="6"/>
  <c r="V58" i="6" s="1"/>
  <c r="W58" i="6" s="1"/>
  <c r="X58" i="6" s="1"/>
  <c r="U59" i="6"/>
  <c r="V59" i="6" s="1"/>
  <c r="W59" i="6" s="1"/>
  <c r="X59" i="6" s="1"/>
  <c r="V60" i="6"/>
  <c r="W60" i="6" s="1"/>
  <c r="X60" i="6" s="1"/>
  <c r="P4" i="6"/>
  <c r="Q4" i="6"/>
  <c r="R4" i="6"/>
  <c r="S4" i="6"/>
  <c r="P5" i="6"/>
  <c r="Q5" i="6"/>
  <c r="R5" i="6"/>
  <c r="S5" i="6"/>
  <c r="P6" i="6"/>
  <c r="Q6" i="6"/>
  <c r="R6" i="6"/>
  <c r="S6" i="6"/>
  <c r="P7" i="6"/>
  <c r="Q7" i="6"/>
  <c r="R7" i="6"/>
  <c r="S7" i="6"/>
  <c r="P8" i="6"/>
  <c r="Q8" i="6"/>
  <c r="R8" i="6"/>
  <c r="S8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5" i="6"/>
  <c r="Q15" i="6"/>
  <c r="R15" i="6"/>
  <c r="S15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P20" i="6"/>
  <c r="Q20" i="6"/>
  <c r="R20" i="6"/>
  <c r="S20" i="6"/>
  <c r="P21" i="6"/>
  <c r="Q21" i="6"/>
  <c r="R21" i="6"/>
  <c r="S21" i="6"/>
  <c r="P22" i="6"/>
  <c r="Q22" i="6"/>
  <c r="R22" i="6"/>
  <c r="S22" i="6"/>
  <c r="P23" i="6"/>
  <c r="Q23" i="6"/>
  <c r="R23" i="6"/>
  <c r="S23" i="6"/>
  <c r="P24" i="6"/>
  <c r="Q24" i="6"/>
  <c r="R24" i="6"/>
  <c r="S24" i="6"/>
  <c r="P25" i="6"/>
  <c r="Q25" i="6"/>
  <c r="R25" i="6"/>
  <c r="S25" i="6"/>
  <c r="P26" i="6"/>
  <c r="Q26" i="6"/>
  <c r="R26" i="6"/>
  <c r="S26" i="6"/>
  <c r="P27" i="6"/>
  <c r="Q27" i="6"/>
  <c r="R27" i="6"/>
  <c r="S27" i="6"/>
  <c r="P28" i="6"/>
  <c r="Q28" i="6"/>
  <c r="R28" i="6"/>
  <c r="S28" i="6"/>
  <c r="P29" i="6"/>
  <c r="Q29" i="6"/>
  <c r="R29" i="6"/>
  <c r="S29" i="6"/>
  <c r="P30" i="6"/>
  <c r="Q30" i="6"/>
  <c r="R30" i="6"/>
  <c r="S30" i="6"/>
  <c r="P31" i="6"/>
  <c r="Q31" i="6"/>
  <c r="R31" i="6"/>
  <c r="S31" i="6"/>
  <c r="P32" i="6"/>
  <c r="Q32" i="6"/>
  <c r="R32" i="6"/>
  <c r="S32" i="6"/>
  <c r="P33" i="6"/>
  <c r="Q33" i="6"/>
  <c r="R33" i="6"/>
  <c r="S33" i="6"/>
  <c r="P34" i="6"/>
  <c r="Q34" i="6"/>
  <c r="R34" i="6"/>
  <c r="S34" i="6"/>
  <c r="P35" i="6"/>
  <c r="Q35" i="6"/>
  <c r="R35" i="6"/>
  <c r="S35" i="6"/>
  <c r="Q36" i="6"/>
  <c r="R36" i="6"/>
  <c r="S36" i="6"/>
  <c r="P37" i="6"/>
  <c r="Q37" i="6"/>
  <c r="R37" i="6"/>
  <c r="S37" i="6"/>
  <c r="P38" i="6"/>
  <c r="Q38" i="6"/>
  <c r="R38" i="6"/>
  <c r="S38" i="6"/>
  <c r="P39" i="6"/>
  <c r="Q39" i="6"/>
  <c r="R39" i="6"/>
  <c r="S39" i="6"/>
  <c r="P40" i="6"/>
  <c r="Q40" i="6"/>
  <c r="R40" i="6"/>
  <c r="S40" i="6"/>
  <c r="P41" i="6"/>
  <c r="Q41" i="6"/>
  <c r="R41" i="6"/>
  <c r="S41" i="6"/>
  <c r="P42" i="6"/>
  <c r="Q42" i="6"/>
  <c r="R42" i="6"/>
  <c r="S42" i="6"/>
  <c r="P43" i="6"/>
  <c r="Q43" i="6"/>
  <c r="R43" i="6"/>
  <c r="S43" i="6"/>
  <c r="P44" i="6"/>
  <c r="Q44" i="6"/>
  <c r="R44" i="6"/>
  <c r="S44" i="6"/>
  <c r="P45" i="6"/>
  <c r="Q45" i="6"/>
  <c r="R45" i="6"/>
  <c r="S45" i="6"/>
  <c r="P46" i="6"/>
  <c r="Q46" i="6"/>
  <c r="R46" i="6"/>
  <c r="S46" i="6"/>
  <c r="P47" i="6"/>
  <c r="Q47" i="6"/>
  <c r="R47" i="6"/>
  <c r="S47" i="6"/>
  <c r="Q48" i="6"/>
  <c r="R48" i="6"/>
  <c r="S48" i="6"/>
  <c r="P49" i="6"/>
  <c r="Q49" i="6"/>
  <c r="R49" i="6"/>
  <c r="S49" i="6"/>
  <c r="P50" i="6"/>
  <c r="Q50" i="6"/>
  <c r="R50" i="6"/>
  <c r="S50" i="6"/>
  <c r="P51" i="6"/>
  <c r="Q51" i="6"/>
  <c r="R51" i="6"/>
  <c r="S51" i="6"/>
  <c r="P52" i="6"/>
  <c r="Q52" i="6"/>
  <c r="R52" i="6"/>
  <c r="S52" i="6"/>
  <c r="P53" i="6"/>
  <c r="Q53" i="6"/>
  <c r="R53" i="6"/>
  <c r="S53" i="6"/>
  <c r="P54" i="6"/>
  <c r="Q54" i="6"/>
  <c r="R54" i="6"/>
  <c r="S54" i="6"/>
  <c r="P55" i="6"/>
  <c r="Q55" i="6"/>
  <c r="R55" i="6"/>
  <c r="S55" i="6"/>
  <c r="P56" i="6"/>
  <c r="Q56" i="6"/>
  <c r="R56" i="6"/>
  <c r="S56" i="6"/>
  <c r="P57" i="6"/>
  <c r="Q57" i="6"/>
  <c r="R57" i="6"/>
  <c r="S57" i="6"/>
  <c r="P58" i="6"/>
  <c r="Q58" i="6"/>
  <c r="R58" i="6"/>
  <c r="S58" i="6"/>
  <c r="P59" i="6"/>
  <c r="Q59" i="6"/>
  <c r="R59" i="6"/>
  <c r="S59" i="6"/>
  <c r="P60" i="6"/>
  <c r="Q60" i="6"/>
  <c r="R60" i="6"/>
  <c r="S60" i="6"/>
  <c r="K42" i="6"/>
  <c r="L42" i="6"/>
  <c r="M42" i="6"/>
  <c r="N42" i="6"/>
  <c r="K43" i="6"/>
  <c r="L43" i="6"/>
  <c r="M43" i="6"/>
  <c r="N43" i="6"/>
  <c r="K44" i="6"/>
  <c r="L44" i="6"/>
  <c r="M44" i="6"/>
  <c r="N44" i="6"/>
  <c r="K45" i="6"/>
  <c r="L45" i="6"/>
  <c r="M45" i="6"/>
  <c r="N45" i="6"/>
  <c r="K46" i="6"/>
  <c r="L46" i="6"/>
  <c r="M46" i="6"/>
  <c r="N46" i="6"/>
  <c r="K47" i="6"/>
  <c r="L47" i="6"/>
  <c r="M47" i="6"/>
  <c r="N47" i="6"/>
  <c r="K48" i="6"/>
  <c r="L48" i="6"/>
  <c r="M48" i="6"/>
  <c r="N48" i="6"/>
  <c r="K49" i="6"/>
  <c r="L49" i="6"/>
  <c r="M49" i="6"/>
  <c r="N49" i="6"/>
  <c r="K50" i="6"/>
  <c r="L50" i="6"/>
  <c r="M50" i="6"/>
  <c r="N50" i="6"/>
  <c r="K51" i="6"/>
  <c r="L51" i="6"/>
  <c r="M51" i="6"/>
  <c r="N51" i="6"/>
  <c r="K52" i="6"/>
  <c r="L52" i="6"/>
  <c r="M52" i="6"/>
  <c r="N52" i="6"/>
  <c r="K53" i="6"/>
  <c r="L53" i="6"/>
  <c r="M53" i="6"/>
  <c r="N53" i="6"/>
  <c r="K54" i="6"/>
  <c r="L54" i="6"/>
  <c r="M54" i="6"/>
  <c r="N54" i="6"/>
  <c r="K55" i="6"/>
  <c r="L55" i="6"/>
  <c r="M55" i="6"/>
  <c r="N55" i="6"/>
  <c r="K56" i="6"/>
  <c r="L56" i="6"/>
  <c r="M56" i="6"/>
  <c r="N56" i="6"/>
  <c r="K57" i="6"/>
  <c r="L57" i="6"/>
  <c r="M57" i="6"/>
  <c r="N57" i="6"/>
  <c r="K58" i="6"/>
  <c r="L58" i="6"/>
  <c r="M58" i="6"/>
  <c r="N58" i="6"/>
  <c r="K59" i="6"/>
  <c r="L59" i="6"/>
  <c r="M59" i="6"/>
  <c r="N59" i="6"/>
  <c r="K60" i="6"/>
  <c r="L60" i="6"/>
  <c r="M60" i="6"/>
  <c r="N60" i="6"/>
  <c r="K99" i="6"/>
  <c r="K25" i="6"/>
  <c r="L25" i="6"/>
  <c r="M25" i="6"/>
  <c r="N25" i="6"/>
  <c r="K26" i="6"/>
  <c r="L26" i="6"/>
  <c r="M26" i="6"/>
  <c r="N26" i="6"/>
  <c r="K27" i="6"/>
  <c r="L27" i="6"/>
  <c r="M27" i="6"/>
  <c r="N27" i="6"/>
  <c r="K28" i="6"/>
  <c r="L28" i="6"/>
  <c r="M28" i="6"/>
  <c r="N28" i="6"/>
  <c r="K29" i="6"/>
  <c r="L29" i="6"/>
  <c r="M29" i="6"/>
  <c r="N29" i="6"/>
  <c r="K30" i="6"/>
  <c r="L30" i="6"/>
  <c r="M30" i="6"/>
  <c r="N30" i="6"/>
  <c r="K31" i="6"/>
  <c r="L31" i="6"/>
  <c r="M31" i="6"/>
  <c r="N31" i="6"/>
  <c r="K32" i="6"/>
  <c r="L32" i="6"/>
  <c r="M32" i="6"/>
  <c r="N32" i="6"/>
  <c r="K33" i="6"/>
  <c r="L33" i="6"/>
  <c r="M33" i="6"/>
  <c r="N33" i="6"/>
  <c r="K34" i="6"/>
  <c r="L34" i="6"/>
  <c r="M34" i="6"/>
  <c r="N34" i="6"/>
  <c r="K35" i="6"/>
  <c r="L35" i="6"/>
  <c r="M35" i="6"/>
  <c r="N35" i="6"/>
  <c r="K36" i="6"/>
  <c r="D36" i="10" s="1"/>
  <c r="M36" i="6"/>
  <c r="N36" i="6"/>
  <c r="K37" i="6"/>
  <c r="L37" i="6"/>
  <c r="M37" i="6"/>
  <c r="N37" i="6"/>
  <c r="K38" i="6"/>
  <c r="L38" i="6"/>
  <c r="M38" i="6"/>
  <c r="N38" i="6"/>
  <c r="K39" i="6"/>
  <c r="L39" i="6"/>
  <c r="M39" i="6"/>
  <c r="N39" i="6"/>
  <c r="K40" i="6"/>
  <c r="L40" i="6"/>
  <c r="M40" i="6"/>
  <c r="N40" i="6"/>
  <c r="K41" i="6"/>
  <c r="L41" i="6"/>
  <c r="M41" i="6"/>
  <c r="N41" i="6"/>
  <c r="K24" i="6"/>
  <c r="L24" i="6"/>
  <c r="M24" i="6"/>
  <c r="N24" i="6"/>
  <c r="K4" i="6"/>
  <c r="L4" i="6"/>
  <c r="M4" i="6"/>
  <c r="N4" i="6"/>
  <c r="K5" i="6"/>
  <c r="L5" i="6"/>
  <c r="M5" i="6"/>
  <c r="N5" i="6"/>
  <c r="K6" i="6"/>
  <c r="L6" i="6"/>
  <c r="M6" i="6"/>
  <c r="N6" i="6"/>
  <c r="K7" i="6"/>
  <c r="L7" i="6"/>
  <c r="M7" i="6"/>
  <c r="N7" i="6"/>
  <c r="K8" i="6"/>
  <c r="L8" i="6"/>
  <c r="M8" i="6"/>
  <c r="N8" i="6"/>
  <c r="K9" i="6"/>
  <c r="L9" i="6"/>
  <c r="M9" i="6"/>
  <c r="N9" i="6"/>
  <c r="K10" i="6"/>
  <c r="L10" i="6"/>
  <c r="M10" i="6"/>
  <c r="N10" i="6"/>
  <c r="K11" i="6"/>
  <c r="L11" i="6"/>
  <c r="M11" i="6"/>
  <c r="N11" i="6"/>
  <c r="K12" i="6"/>
  <c r="L12" i="6"/>
  <c r="M12" i="6"/>
  <c r="N12" i="6"/>
  <c r="K13" i="6"/>
  <c r="L13" i="6"/>
  <c r="M13" i="6"/>
  <c r="N13" i="6"/>
  <c r="K14" i="6"/>
  <c r="L14" i="6"/>
  <c r="M14" i="6"/>
  <c r="N14" i="6"/>
  <c r="K15" i="6"/>
  <c r="L15" i="6"/>
  <c r="M15" i="6"/>
  <c r="N15" i="6"/>
  <c r="K16" i="6"/>
  <c r="L16" i="6"/>
  <c r="M16" i="6"/>
  <c r="N16" i="6"/>
  <c r="K17" i="6"/>
  <c r="L17" i="6"/>
  <c r="M17" i="6"/>
  <c r="N17" i="6"/>
  <c r="L18" i="6"/>
  <c r="M18" i="6"/>
  <c r="N18" i="6"/>
  <c r="K19" i="6"/>
  <c r="L19" i="6"/>
  <c r="M19" i="6"/>
  <c r="N19" i="6"/>
  <c r="K20" i="6"/>
  <c r="L20" i="6"/>
  <c r="M20" i="6"/>
  <c r="N20" i="6"/>
  <c r="K21" i="6"/>
  <c r="L21" i="6"/>
  <c r="M21" i="6"/>
  <c r="N21" i="6"/>
  <c r="K22" i="6"/>
  <c r="L22" i="6"/>
  <c r="M22" i="6"/>
  <c r="N22" i="6"/>
  <c r="K23" i="6"/>
  <c r="L23" i="6"/>
  <c r="M23" i="6"/>
  <c r="N23" i="6"/>
  <c r="F17" i="6"/>
  <c r="G17" i="6"/>
  <c r="H17" i="6"/>
  <c r="I17" i="6"/>
  <c r="F18" i="6"/>
  <c r="G18" i="6"/>
  <c r="H18" i="6"/>
  <c r="I18" i="6"/>
  <c r="F19" i="6"/>
  <c r="G19" i="6"/>
  <c r="H19" i="6"/>
  <c r="I19" i="6"/>
  <c r="F20" i="6"/>
  <c r="G20" i="6"/>
  <c r="H20" i="6"/>
  <c r="I20" i="6"/>
  <c r="F21" i="6"/>
  <c r="G21" i="6"/>
  <c r="H21" i="6"/>
  <c r="I21" i="6"/>
  <c r="F22" i="6"/>
  <c r="G22" i="6"/>
  <c r="H22" i="6"/>
  <c r="I22" i="6"/>
  <c r="F23" i="6"/>
  <c r="G23" i="6"/>
  <c r="H23" i="6"/>
  <c r="I23" i="6"/>
  <c r="F24" i="6"/>
  <c r="G24" i="6"/>
  <c r="H24" i="6"/>
  <c r="I24" i="6"/>
  <c r="F25" i="6"/>
  <c r="G25" i="6"/>
  <c r="H25" i="6"/>
  <c r="I25" i="6"/>
  <c r="F26" i="6"/>
  <c r="G26" i="6"/>
  <c r="H26" i="6"/>
  <c r="I26" i="6"/>
  <c r="F27" i="6"/>
  <c r="G27" i="6"/>
  <c r="H27" i="6"/>
  <c r="I27" i="6"/>
  <c r="F28" i="6"/>
  <c r="G28" i="6"/>
  <c r="H28" i="6"/>
  <c r="I28" i="6"/>
  <c r="F29" i="6"/>
  <c r="G29" i="6"/>
  <c r="H29" i="6"/>
  <c r="I29" i="6"/>
  <c r="F30" i="6"/>
  <c r="G30" i="6"/>
  <c r="H30" i="6"/>
  <c r="I30" i="6"/>
  <c r="F31" i="6"/>
  <c r="G31" i="6"/>
  <c r="H31" i="6"/>
  <c r="I31" i="6"/>
  <c r="F32" i="6"/>
  <c r="G32" i="6"/>
  <c r="H32" i="6"/>
  <c r="I32" i="6"/>
  <c r="F33" i="6"/>
  <c r="G33" i="6"/>
  <c r="H33" i="6"/>
  <c r="I33" i="6"/>
  <c r="F34" i="6"/>
  <c r="G34" i="6"/>
  <c r="H34" i="6"/>
  <c r="I34" i="6"/>
  <c r="G35" i="6"/>
  <c r="H35" i="6"/>
  <c r="I35" i="6"/>
  <c r="G36" i="6"/>
  <c r="H36" i="6"/>
  <c r="I36" i="6"/>
  <c r="F37" i="6"/>
  <c r="G37" i="6"/>
  <c r="H37" i="6"/>
  <c r="I37" i="6"/>
  <c r="F38" i="6"/>
  <c r="G38" i="6"/>
  <c r="H38" i="6"/>
  <c r="I38" i="6"/>
  <c r="F39" i="6"/>
  <c r="G39" i="6"/>
  <c r="H39" i="6"/>
  <c r="I39" i="6"/>
  <c r="F40" i="6"/>
  <c r="G40" i="6"/>
  <c r="H40" i="6"/>
  <c r="I40" i="6"/>
  <c r="F41" i="6"/>
  <c r="G41" i="6"/>
  <c r="H41" i="6"/>
  <c r="I41" i="6"/>
  <c r="F42" i="6"/>
  <c r="G42" i="6"/>
  <c r="H42" i="6"/>
  <c r="I42" i="6"/>
  <c r="F43" i="6"/>
  <c r="G43" i="6"/>
  <c r="H43" i="6"/>
  <c r="I43" i="6"/>
  <c r="F44" i="6"/>
  <c r="G44" i="6"/>
  <c r="H44" i="6"/>
  <c r="I44" i="6"/>
  <c r="F45" i="6"/>
  <c r="G45" i="6"/>
  <c r="H45" i="6"/>
  <c r="I45" i="6"/>
  <c r="F46" i="6"/>
  <c r="G46" i="6"/>
  <c r="H46" i="6"/>
  <c r="I46" i="6"/>
  <c r="F47" i="6"/>
  <c r="G47" i="6"/>
  <c r="H47" i="6"/>
  <c r="I47" i="6"/>
  <c r="F48" i="6"/>
  <c r="G48" i="6"/>
  <c r="H48" i="6"/>
  <c r="I48" i="6"/>
  <c r="F49" i="6"/>
  <c r="G49" i="6"/>
  <c r="H49" i="6"/>
  <c r="I49" i="6"/>
  <c r="F50" i="6"/>
  <c r="G50" i="6"/>
  <c r="H50" i="6"/>
  <c r="I50" i="6"/>
  <c r="F51" i="6"/>
  <c r="G51" i="6"/>
  <c r="H51" i="6"/>
  <c r="I51" i="6"/>
  <c r="F52" i="6"/>
  <c r="G52" i="6"/>
  <c r="H52" i="6"/>
  <c r="I52" i="6"/>
  <c r="F53" i="6"/>
  <c r="G53" i="6"/>
  <c r="H53" i="6"/>
  <c r="I53" i="6"/>
  <c r="F54" i="6"/>
  <c r="G54" i="6"/>
  <c r="H54" i="6"/>
  <c r="I54" i="6"/>
  <c r="F55" i="6"/>
  <c r="G55" i="6"/>
  <c r="H55" i="6"/>
  <c r="I55" i="6"/>
  <c r="F56" i="6"/>
  <c r="G56" i="6"/>
  <c r="H56" i="6"/>
  <c r="I56" i="6"/>
  <c r="F57" i="6"/>
  <c r="G57" i="6"/>
  <c r="H57" i="6"/>
  <c r="I57" i="6"/>
  <c r="G58" i="6"/>
  <c r="H58" i="6"/>
  <c r="I58" i="6"/>
  <c r="G59" i="6"/>
  <c r="H59" i="6"/>
  <c r="I59" i="6"/>
  <c r="G60" i="6"/>
  <c r="H60" i="6"/>
  <c r="I60" i="6"/>
  <c r="E99" i="10"/>
  <c r="G4" i="6"/>
  <c r="H4" i="6"/>
  <c r="I4" i="6"/>
  <c r="F5" i="6"/>
  <c r="G5" i="6"/>
  <c r="H5" i="6"/>
  <c r="I5" i="6"/>
  <c r="F6" i="6"/>
  <c r="G6" i="6"/>
  <c r="H6" i="6"/>
  <c r="I6" i="6"/>
  <c r="F7" i="6"/>
  <c r="G7" i="6"/>
  <c r="H7" i="6"/>
  <c r="I7" i="6"/>
  <c r="F8" i="6"/>
  <c r="G8" i="6"/>
  <c r="H8" i="6"/>
  <c r="I8" i="6"/>
  <c r="F9" i="6"/>
  <c r="G9" i="6"/>
  <c r="H9" i="6"/>
  <c r="I9" i="6"/>
  <c r="F10" i="6"/>
  <c r="G10" i="6"/>
  <c r="H10" i="6"/>
  <c r="I10" i="6"/>
  <c r="F11" i="6"/>
  <c r="G11" i="6"/>
  <c r="H11" i="6"/>
  <c r="I11" i="6"/>
  <c r="F12" i="6"/>
  <c r="G12" i="6"/>
  <c r="H12" i="6"/>
  <c r="I12" i="6"/>
  <c r="F13" i="6"/>
  <c r="G13" i="6"/>
  <c r="H13" i="6"/>
  <c r="I13" i="6"/>
  <c r="F14" i="6"/>
  <c r="G14" i="6"/>
  <c r="H14" i="6"/>
  <c r="I14" i="6"/>
  <c r="F15" i="6"/>
  <c r="G15" i="6"/>
  <c r="H15" i="6"/>
  <c r="I15" i="6"/>
  <c r="F16" i="6"/>
  <c r="G16" i="6"/>
  <c r="H16" i="6"/>
  <c r="I16" i="6"/>
  <c r="AH3" i="6"/>
  <c r="AF3" i="6"/>
  <c r="U3" i="6"/>
  <c r="AQ17" i="6" l="1"/>
  <c r="AQ19" i="6"/>
  <c r="AQ21" i="6"/>
  <c r="AQ22" i="6"/>
  <c r="AQ23" i="6"/>
  <c r="AQ25" i="6"/>
  <c r="AQ26" i="6"/>
  <c r="AQ27" i="6"/>
  <c r="AQ20" i="6"/>
  <c r="AQ24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4" i="6"/>
  <c r="AQ6" i="6"/>
  <c r="AQ7" i="6"/>
  <c r="AQ8" i="6"/>
  <c r="AQ9" i="6"/>
  <c r="AQ10" i="6"/>
  <c r="AQ11" i="6"/>
  <c r="AQ12" i="6"/>
  <c r="AQ13" i="6"/>
  <c r="AQ14" i="6"/>
  <c r="AQ15" i="6"/>
  <c r="AQ16" i="6"/>
  <c r="D99" i="10"/>
  <c r="J99" i="10" s="1"/>
  <c r="AQ99" i="6"/>
  <c r="D59" i="10"/>
  <c r="D60" i="10"/>
  <c r="D35" i="10"/>
  <c r="E36" i="10"/>
  <c r="D9" i="10"/>
  <c r="E9" i="10"/>
  <c r="F9" i="10"/>
  <c r="D10" i="10"/>
  <c r="E10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2" i="10"/>
  <c r="E32" i="10"/>
  <c r="F32" i="10"/>
  <c r="D33" i="10"/>
  <c r="E33" i="10"/>
  <c r="F33" i="10"/>
  <c r="D34" i="10"/>
  <c r="E34" i="10"/>
  <c r="F34" i="10"/>
  <c r="E35" i="10"/>
  <c r="F35" i="10"/>
  <c r="F36" i="10"/>
  <c r="D37" i="10"/>
  <c r="E37" i="10"/>
  <c r="F37" i="10"/>
  <c r="D38" i="10"/>
  <c r="E38" i="10"/>
  <c r="F38" i="10"/>
  <c r="D50" i="10"/>
  <c r="E50" i="10"/>
  <c r="F50" i="10"/>
  <c r="D51" i="10"/>
  <c r="E51" i="10"/>
  <c r="F51" i="10"/>
  <c r="D52" i="10"/>
  <c r="E52" i="10"/>
  <c r="F52" i="10"/>
  <c r="D53" i="10"/>
  <c r="E53" i="10"/>
  <c r="F53" i="10"/>
  <c r="D54" i="10"/>
  <c r="E54" i="10"/>
  <c r="F54" i="10"/>
  <c r="D55" i="10"/>
  <c r="E55" i="10"/>
  <c r="F55" i="10"/>
  <c r="D56" i="10"/>
  <c r="E56" i="10"/>
  <c r="F56" i="10"/>
  <c r="D57" i="10"/>
  <c r="E57" i="10"/>
  <c r="F57" i="10"/>
  <c r="E4" i="10"/>
  <c r="F4" i="10"/>
  <c r="D5" i="10"/>
  <c r="E5" i="10"/>
  <c r="D6" i="10"/>
  <c r="E6" i="10"/>
  <c r="F6" i="10"/>
  <c r="D7" i="10"/>
  <c r="E7" i="10"/>
  <c r="F7" i="10"/>
  <c r="D8" i="10"/>
  <c r="E8" i="10"/>
  <c r="F8" i="10"/>
  <c r="F10" i="10"/>
  <c r="D11" i="10"/>
  <c r="E11" i="10"/>
  <c r="F11" i="10"/>
  <c r="D12" i="10"/>
  <c r="E12" i="10"/>
  <c r="F12" i="10"/>
  <c r="D13" i="10"/>
  <c r="E13" i="10"/>
  <c r="F13" i="10"/>
  <c r="D14" i="10"/>
  <c r="E14" i="10"/>
  <c r="F14" i="10"/>
  <c r="D15" i="10"/>
  <c r="E15" i="10"/>
  <c r="F15" i="10"/>
  <c r="E16" i="10"/>
  <c r="F16" i="10"/>
  <c r="D16" i="10"/>
  <c r="D58" i="10"/>
  <c r="D4" i="10"/>
  <c r="F25" i="10"/>
  <c r="D39" i="10"/>
  <c r="E39" i="10"/>
  <c r="F39" i="10"/>
  <c r="D40" i="10"/>
  <c r="E40" i="10"/>
  <c r="F40" i="10"/>
  <c r="D41" i="10"/>
  <c r="E41" i="10"/>
  <c r="F41" i="10"/>
  <c r="D42" i="10"/>
  <c r="E42" i="10"/>
  <c r="F42" i="10"/>
  <c r="D43" i="10"/>
  <c r="E43" i="10"/>
  <c r="F43" i="10"/>
  <c r="D44" i="10"/>
  <c r="E44" i="10"/>
  <c r="F44" i="10"/>
  <c r="D45" i="10"/>
  <c r="E45" i="10"/>
  <c r="F45" i="10"/>
  <c r="D46" i="10"/>
  <c r="E46" i="10"/>
  <c r="F46" i="10"/>
  <c r="D47" i="10"/>
  <c r="E47" i="10"/>
  <c r="F47" i="10"/>
  <c r="D48" i="10"/>
  <c r="E48" i="10"/>
  <c r="F48" i="10"/>
  <c r="D49" i="10"/>
  <c r="E58" i="10"/>
  <c r="F58" i="10"/>
  <c r="E59" i="10"/>
  <c r="F59" i="10"/>
  <c r="E60" i="10"/>
  <c r="F60" i="10"/>
  <c r="E26" i="10"/>
  <c r="F26" i="10"/>
  <c r="D26" i="10"/>
  <c r="E49" i="10"/>
  <c r="F49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H36" i="10"/>
  <c r="H45" i="10"/>
  <c r="H35" i="10"/>
  <c r="H24" i="10"/>
  <c r="H25" i="10"/>
  <c r="H26" i="10"/>
  <c r="H27" i="10"/>
  <c r="H28" i="10"/>
  <c r="H29" i="10"/>
  <c r="H30" i="10"/>
  <c r="H31" i="10"/>
  <c r="H32" i="10"/>
  <c r="H33" i="10"/>
  <c r="H34" i="10"/>
  <c r="H37" i="10"/>
  <c r="H38" i="10"/>
  <c r="H39" i="10"/>
  <c r="H40" i="10"/>
  <c r="H41" i="10"/>
  <c r="H42" i="10"/>
  <c r="H43" i="10"/>
  <c r="H44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" i="10"/>
  <c r="G7" i="10"/>
  <c r="G8" i="10"/>
  <c r="G9" i="10"/>
  <c r="G10" i="10"/>
  <c r="G11" i="10"/>
  <c r="G12" i="10"/>
  <c r="G13" i="10"/>
  <c r="G14" i="10"/>
  <c r="G15" i="10"/>
  <c r="G16" i="10"/>
  <c r="V3" i="6"/>
  <c r="I4" i="10"/>
  <c r="H4" i="10"/>
  <c r="W5" i="6"/>
  <c r="AB3" i="6"/>
  <c r="AD3" i="6"/>
  <c r="AI3" i="6"/>
  <c r="AK3" i="6"/>
  <c r="AL3" i="6"/>
  <c r="F5" i="10" l="1"/>
  <c r="J58" i="10"/>
  <c r="J59" i="10"/>
  <c r="J60" i="10"/>
  <c r="J35" i="10"/>
  <c r="J36" i="10"/>
  <c r="J17" i="10"/>
  <c r="J24" i="10"/>
  <c r="J18" i="10"/>
  <c r="J19" i="10"/>
  <c r="J20" i="10"/>
  <c r="J21" i="10"/>
  <c r="J22" i="10"/>
  <c r="J23" i="10"/>
  <c r="J25" i="10"/>
  <c r="J26" i="10"/>
  <c r="J27" i="10"/>
  <c r="J28" i="10"/>
  <c r="J29" i="10"/>
  <c r="J30" i="10"/>
  <c r="J31" i="10"/>
  <c r="J33" i="10"/>
  <c r="J34" i="10"/>
  <c r="J37" i="10"/>
  <c r="J38" i="10"/>
  <c r="J10" i="10"/>
  <c r="J32" i="10"/>
  <c r="J8" i="10"/>
  <c r="J39" i="10"/>
  <c r="J40" i="10"/>
  <c r="J41" i="10"/>
  <c r="J42" i="10"/>
  <c r="J43" i="10"/>
  <c r="J44" i="10"/>
  <c r="J45" i="10"/>
  <c r="J52" i="10"/>
  <c r="J57" i="10"/>
  <c r="J11" i="10"/>
  <c r="J46" i="10"/>
  <c r="J47" i="10"/>
  <c r="J48" i="10"/>
  <c r="J49" i="10"/>
  <c r="J50" i="10"/>
  <c r="J51" i="10"/>
  <c r="J55" i="10"/>
  <c r="J56" i="10"/>
  <c r="J53" i="10"/>
  <c r="J54" i="10"/>
  <c r="J6" i="10"/>
  <c r="J7" i="10"/>
  <c r="J9" i="10"/>
  <c r="J12" i="10"/>
  <c r="J13" i="10"/>
  <c r="J14" i="10"/>
  <c r="J15" i="10"/>
  <c r="J16" i="10"/>
  <c r="W3" i="6"/>
  <c r="H3" i="10"/>
  <c r="I3" i="10"/>
  <c r="X5" i="6"/>
  <c r="AQ5" i="6" s="1"/>
  <c r="K3" i="6"/>
  <c r="L3" i="6"/>
  <c r="M3" i="6"/>
  <c r="N3" i="6"/>
  <c r="P3" i="6"/>
  <c r="Q3" i="6"/>
  <c r="R3" i="6"/>
  <c r="S3" i="6"/>
  <c r="G5" i="10" l="1"/>
  <c r="J5" i="10" s="1"/>
  <c r="X3" i="6"/>
  <c r="J132" i="10"/>
  <c r="J126" i="10" l="1"/>
  <c r="J131" i="10"/>
  <c r="I127" i="10"/>
  <c r="I128" i="10" s="1"/>
  <c r="H127" i="10"/>
  <c r="H128" i="10" s="1"/>
  <c r="G127" i="10"/>
  <c r="G128" i="10" s="1"/>
  <c r="F127" i="10"/>
  <c r="F128" i="10" s="1"/>
  <c r="E127" i="10"/>
  <c r="E128" i="10" s="1"/>
  <c r="D127" i="10"/>
  <c r="D128" i="10" s="1"/>
  <c r="J125" i="10"/>
  <c r="J124" i="10"/>
  <c r="I118" i="10"/>
  <c r="I120" i="10" s="1"/>
  <c r="H118" i="10"/>
  <c r="H120" i="10" s="1"/>
  <c r="G118" i="10"/>
  <c r="G120" i="10" s="1"/>
  <c r="F118" i="10"/>
  <c r="F120" i="10" s="1"/>
  <c r="F121" i="10" s="1"/>
  <c r="E118" i="10"/>
  <c r="E120" i="10" s="1"/>
  <c r="D118" i="10"/>
  <c r="D120" i="10" l="1"/>
  <c r="J120" i="10" s="1"/>
  <c r="D121" i="10" l="1"/>
  <c r="F3" i="6" l="1"/>
  <c r="D3" i="10" l="1"/>
  <c r="W9" i="10" l="1"/>
  <c r="V9" i="10"/>
  <c r="U9" i="10"/>
  <c r="T9" i="10"/>
  <c r="S9" i="10"/>
  <c r="R9" i="10"/>
  <c r="Q9" i="10"/>
  <c r="P9" i="10"/>
  <c r="O9" i="10"/>
  <c r="N9" i="10"/>
  <c r="I3" i="6" l="1"/>
  <c r="H3" i="6"/>
  <c r="G3" i="6"/>
  <c r="AQ3" i="6" l="1"/>
  <c r="F3" i="10"/>
  <c r="E3" i="10"/>
  <c r="G4" i="10"/>
  <c r="G3" i="10"/>
  <c r="J4" i="10" l="1"/>
  <c r="J3" i="10"/>
  <c r="F107" i="10"/>
  <c r="F109" i="10" s="1"/>
  <c r="D107" i="10"/>
  <c r="D109" i="10" s="1"/>
  <c r="I107" i="10"/>
  <c r="I109" i="10" s="1"/>
  <c r="H107" i="10"/>
  <c r="H109" i="10" s="1"/>
  <c r="E107" i="10"/>
  <c r="E109" i="10" s="1"/>
  <c r="G107" i="10"/>
  <c r="G109" i="10" s="1"/>
  <c r="J107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Prathamesh Ganachari</author>
  </authors>
  <commentList>
    <comment ref="G131" authorId="0" shapeId="0" xr:uid="{1F68AE38-2D6E-4E93-BAEA-AA9C7125D323}">
      <text>
        <r>
          <rPr>
            <b/>
            <sz val="9"/>
            <color indexed="81"/>
            <rFont val="Tahoma"/>
            <family val="2"/>
          </rPr>
          <t>Prathamesh Ganachari:</t>
        </r>
        <r>
          <rPr>
            <sz val="9"/>
            <color indexed="81"/>
            <rFont val="Tahoma"/>
            <family val="2"/>
          </rPr>
          <t xml:space="preserve">
4668+360
</t>
        </r>
      </text>
    </comment>
    <comment ref="L131" authorId="0" shapeId="0" xr:uid="{1A0C7B38-A050-44F4-89AA-E776F61F1A95}">
      <text>
        <r>
          <rPr>
            <b/>
            <sz val="9"/>
            <color indexed="81"/>
            <rFont val="Tahoma"/>
            <family val="2"/>
          </rPr>
          <t>Prathamesh Ganachari:</t>
        </r>
        <r>
          <rPr>
            <sz val="9"/>
            <color indexed="81"/>
            <rFont val="Tahoma"/>
            <family val="2"/>
          </rPr>
          <t xml:space="preserve">
4668+360
</t>
        </r>
      </text>
    </comment>
  </commentList>
</comments>
</file>

<file path=xl/sharedStrings.xml><?xml version="1.0" encoding="utf-8"?>
<sst xmlns="http://schemas.openxmlformats.org/spreadsheetml/2006/main" count="1239" uniqueCount="248">
  <si>
    <t>MHPS Managutti</t>
  </si>
  <si>
    <t>KHPBS Yamakanamaradi</t>
  </si>
  <si>
    <t>KHPGS Yamakanamaradi</t>
  </si>
  <si>
    <t>KHPS Hattaragi</t>
  </si>
  <si>
    <t>KHPS Anandpur</t>
  </si>
  <si>
    <t>GHS Attihal</t>
  </si>
  <si>
    <t>Sl.No</t>
  </si>
  <si>
    <t>GHS Naganur KM</t>
  </si>
  <si>
    <t>KHPS Gudaganahatti RC</t>
  </si>
  <si>
    <t>UEMPS(English Medium) Yamakanamaradi</t>
  </si>
  <si>
    <t>UHPS Yamakanamaradi</t>
  </si>
  <si>
    <t>KHPS Hunnur Masthiholi</t>
  </si>
  <si>
    <t>KHPS Managutti</t>
  </si>
  <si>
    <t>GHS Hunnur Masthiholi</t>
  </si>
  <si>
    <t>KLPS Halegudaganatti</t>
  </si>
  <si>
    <t>KLPS Dadbanahatti</t>
  </si>
  <si>
    <t>NAME OF THE SCHOOL</t>
  </si>
  <si>
    <t>80 pg</t>
  </si>
  <si>
    <t>1L</t>
  </si>
  <si>
    <t>2L</t>
  </si>
  <si>
    <t>4L</t>
  </si>
  <si>
    <t>SQ</t>
  </si>
  <si>
    <t>160 pg</t>
  </si>
  <si>
    <t>160pg</t>
  </si>
  <si>
    <t>LB</t>
  </si>
  <si>
    <t>80 Pg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</si>
  <si>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</si>
  <si>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</si>
  <si>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</si>
  <si>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</si>
  <si>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</si>
  <si>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</si>
  <si>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</si>
  <si>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</si>
  <si>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</si>
  <si>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</si>
  <si>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Total</t>
  </si>
  <si>
    <t>160 Pg</t>
  </si>
  <si>
    <t xml:space="preserve">1L </t>
  </si>
  <si>
    <t>Standardwise Noteboooks</t>
  </si>
  <si>
    <t>GKHPS Attihal</t>
  </si>
  <si>
    <t>KHPS Majati</t>
  </si>
  <si>
    <t>KHPS Nagnur</t>
  </si>
  <si>
    <t xml:space="preserve">1st </t>
  </si>
  <si>
    <t>KHPS Benkanhalli</t>
  </si>
  <si>
    <t>No. of students</t>
  </si>
  <si>
    <t>Friday</t>
  </si>
  <si>
    <t>Saturday</t>
  </si>
  <si>
    <t>Sunday</t>
  </si>
  <si>
    <t>Monday</t>
  </si>
  <si>
    <t>Tuesday</t>
  </si>
  <si>
    <t>Wednesday</t>
  </si>
  <si>
    <t>Thursday</t>
  </si>
  <si>
    <t>Sl No</t>
  </si>
  <si>
    <t>KHPS Indiranagar</t>
  </si>
  <si>
    <t>GHS Nerli</t>
  </si>
  <si>
    <t>Total Notebooks</t>
  </si>
  <si>
    <t>GHS Kochari</t>
  </si>
  <si>
    <t>KHPS Aldal</t>
  </si>
  <si>
    <t>KHPBS Ullagadi Khanapur</t>
  </si>
  <si>
    <t>KHPGS Ullagadi Khanapur</t>
  </si>
  <si>
    <t>KHPS Gudaganahatti Daddi</t>
  </si>
  <si>
    <t>MHPS Daddi</t>
  </si>
  <si>
    <t>KHPS Daddi</t>
  </si>
  <si>
    <t>Total per std</t>
  </si>
  <si>
    <t>GHPS Itigatti Hubballi</t>
  </si>
  <si>
    <t>GHPS Yarikoppa</t>
  </si>
  <si>
    <t>MPS Tarihal</t>
  </si>
  <si>
    <t>MPS Navallur</t>
  </si>
  <si>
    <t>KHPS Hosur</t>
  </si>
  <si>
    <t>Location</t>
  </si>
  <si>
    <t>Hubballi</t>
  </si>
  <si>
    <t>GHPS Banapur</t>
  </si>
  <si>
    <t>GHS Banapur</t>
  </si>
  <si>
    <t>GHPS Managundi</t>
  </si>
  <si>
    <t>GHS Managundi</t>
  </si>
  <si>
    <t>Koppal</t>
  </si>
  <si>
    <t>Difference</t>
  </si>
  <si>
    <t>Hebbal Boys School</t>
  </si>
  <si>
    <t>Hebbal Girls School</t>
  </si>
  <si>
    <t>Belgaum</t>
  </si>
  <si>
    <t>Completed</t>
  </si>
  <si>
    <t>Distribution</t>
  </si>
  <si>
    <t>Requirment</t>
  </si>
  <si>
    <t>Short</t>
  </si>
  <si>
    <t>Stock</t>
  </si>
  <si>
    <t>KHPS Bidrewadi</t>
  </si>
  <si>
    <t>KHPS Vaarimastiholli</t>
  </si>
  <si>
    <t>UHPS Ullagadikhanapur</t>
  </si>
  <si>
    <t>2Line</t>
  </si>
  <si>
    <t>4Line</t>
  </si>
  <si>
    <t>160pg 1line</t>
  </si>
  <si>
    <t>Long</t>
  </si>
  <si>
    <t>Hubbali</t>
  </si>
  <si>
    <t>Required</t>
  </si>
  <si>
    <t>Ordered</t>
  </si>
  <si>
    <t>Delivered</t>
  </si>
  <si>
    <t>Distributed</t>
  </si>
  <si>
    <t>Total Received Confirmed</t>
  </si>
  <si>
    <t>Distribution Revised - 8th Aug</t>
  </si>
  <si>
    <t>GHS Hosur</t>
  </si>
  <si>
    <t>KHPS Itigatti Hubballi</t>
  </si>
  <si>
    <t>A</t>
  </si>
  <si>
    <t>B</t>
  </si>
  <si>
    <t>khps Suttagatti</t>
  </si>
  <si>
    <t>KHPS Bamabarga</t>
  </si>
  <si>
    <t>KHPS Bhutramatti</t>
  </si>
  <si>
    <t>KHPS Bolashyantti</t>
  </si>
  <si>
    <t>KHPS Katabali</t>
  </si>
  <si>
    <t>KHPS Malatti</t>
  </si>
  <si>
    <t>KHPS Managaon</t>
  </si>
  <si>
    <t>KHPS Arjunwad</t>
  </si>
  <si>
    <t>KHPS Hanchinal</t>
  </si>
  <si>
    <t>KHPS Kurnihatti</t>
  </si>
  <si>
    <t>KHPS Kurniwadi</t>
  </si>
  <si>
    <t>KHPS Yaranal</t>
  </si>
  <si>
    <t>KHPS Jinaral</t>
  </si>
  <si>
    <t>GHS Islampur</t>
  </si>
  <si>
    <t>GMPS Amaragol</t>
  </si>
  <si>
    <t>GHPS Nigadi</t>
  </si>
  <si>
    <t>GHPS Tadaasinakoppa</t>
  </si>
  <si>
    <t>GHPS Gamanagatti</t>
  </si>
  <si>
    <t>MPS Dummawad</t>
  </si>
  <si>
    <t>KGS Dummawad</t>
  </si>
  <si>
    <t>GHPS Kanavi Honnapur</t>
  </si>
  <si>
    <t>KPS Navanagar</t>
  </si>
  <si>
    <t>GHPS Gokul</t>
  </si>
  <si>
    <t>GHPS Jodali</t>
  </si>
  <si>
    <t>KHPS Bastawadi</t>
  </si>
  <si>
    <t>KHPS Islampur</t>
  </si>
  <si>
    <t>GHS Itigatti Hubballi</t>
  </si>
  <si>
    <t>GHS Arjunwad</t>
  </si>
  <si>
    <t>KHPS Hosaiddalhonda</t>
  </si>
  <si>
    <t>KHPS Rajakatti</t>
  </si>
  <si>
    <t>KHPS Chikkaldinni</t>
  </si>
  <si>
    <t>GHS Yarikoppa</t>
  </si>
  <si>
    <t>GHPS Gamyapura</t>
  </si>
  <si>
    <t>Status</t>
  </si>
  <si>
    <t>Sent</t>
  </si>
  <si>
    <t>KBS Kochari</t>
  </si>
  <si>
    <t>KGS Kochari</t>
  </si>
  <si>
    <t>KHPS Chikkalgud</t>
  </si>
  <si>
    <t>KHPS Chikkalguda</t>
  </si>
  <si>
    <t>KHPS Konnannkeri</t>
  </si>
  <si>
    <t>KHPS Shahabandar</t>
  </si>
  <si>
    <t>Khps Gotur</t>
  </si>
  <si>
    <t xml:space="preserve"> </t>
  </si>
  <si>
    <t>Khps Kamatanur</t>
  </si>
  <si>
    <t>Khpbs Nidasossi</t>
  </si>
  <si>
    <t>Khpgs Nidasossi</t>
  </si>
  <si>
    <t>KHPS Naganur</t>
  </si>
  <si>
    <t>KHPS Gajapati</t>
  </si>
  <si>
    <t>KHPS Hosa Vantmuri</t>
  </si>
  <si>
    <t>GHS Ammanagi</t>
  </si>
  <si>
    <t>GKLPS Halemastiholi</t>
  </si>
  <si>
    <t>KHPS Benakanhatti</t>
  </si>
  <si>
    <t>KHPS Navanagar</t>
  </si>
  <si>
    <t>KHPS Hirasugar</t>
  </si>
  <si>
    <t>KHPGS Gavanal</t>
  </si>
  <si>
    <t>KHPBS Kurani</t>
  </si>
  <si>
    <t>KHPGS Kurani</t>
  </si>
  <si>
    <t>KHPS Beeranaholi</t>
  </si>
  <si>
    <t>KHPS Guttaguddi</t>
  </si>
  <si>
    <t>LPS Hossur</t>
  </si>
  <si>
    <t>KHPS Attihal</t>
  </si>
  <si>
    <t>KHPS Haragapur</t>
  </si>
  <si>
    <t>KHPS Solapur</t>
  </si>
  <si>
    <t>Ghs Solapur</t>
  </si>
  <si>
    <t>MHPS Solapur</t>
  </si>
  <si>
    <t>KHPGS Nerli</t>
  </si>
  <si>
    <t>KHPBS Nerli</t>
  </si>
  <si>
    <t>UHPS Nerli</t>
  </si>
  <si>
    <t>GHS Kanavi Honnapur</t>
  </si>
  <si>
    <t>KHPS Bastwad</t>
  </si>
  <si>
    <t>KHPS Kahvanewadi</t>
  </si>
  <si>
    <t>S.no</t>
  </si>
  <si>
    <t>School</t>
  </si>
  <si>
    <t>Sent/Not Yet</t>
  </si>
  <si>
    <t>Mai mam</t>
  </si>
  <si>
    <t>Team / Individual Joined</t>
  </si>
  <si>
    <t>Dinesh sir &amp; Team</t>
  </si>
  <si>
    <t>Amol mane &amp; Customer</t>
  </si>
  <si>
    <t>Pavan sir &amp; Customer</t>
  </si>
  <si>
    <t>Ramakant Patil &amp; Customer</t>
  </si>
  <si>
    <t>Mallikarjun Patil &amp; Team</t>
  </si>
  <si>
    <t>Team Name</t>
  </si>
  <si>
    <t>Admin - 2</t>
  </si>
  <si>
    <t>IS &amp; BI Team</t>
  </si>
  <si>
    <t>HR Team - 2</t>
  </si>
  <si>
    <t>Projects</t>
  </si>
  <si>
    <t>ME</t>
  </si>
  <si>
    <t>IT</t>
  </si>
  <si>
    <t>Finance - 2</t>
  </si>
  <si>
    <t>Pag</t>
  </si>
  <si>
    <t>Infra</t>
  </si>
  <si>
    <t>API - 3</t>
  </si>
  <si>
    <t>Aeppl</t>
  </si>
  <si>
    <t>Aai</t>
  </si>
  <si>
    <t>Squad</t>
  </si>
  <si>
    <t>FMS</t>
  </si>
  <si>
    <t>Latecore</t>
  </si>
  <si>
    <t>Quest</t>
  </si>
  <si>
    <t>Saavance</t>
  </si>
  <si>
    <t>Peurosil</t>
  </si>
  <si>
    <t>GHS Ullagadi Khanapur</t>
  </si>
  <si>
    <t>Kuldeep &amp;customers</t>
  </si>
  <si>
    <t>INFRA, AL2, Projects</t>
  </si>
  <si>
    <t>Api team</t>
  </si>
  <si>
    <t>Api &amp; IT</t>
  </si>
  <si>
    <t>KHPS TWC Dharwad</t>
  </si>
  <si>
    <t>KHPS Kamalapur</t>
  </si>
  <si>
    <t>KHPS Madamakanal</t>
  </si>
  <si>
    <t>KHPS Gokul</t>
  </si>
  <si>
    <t>KHPS Kanavi Honnapur</t>
  </si>
  <si>
    <t>Ghps Kamalapur</t>
  </si>
  <si>
    <t>GHPS TCW Dharwad</t>
  </si>
  <si>
    <t>KHPS Tarihal</t>
  </si>
  <si>
    <t>KHPS Yaranal ( not mentioned)</t>
  </si>
  <si>
    <t xml:space="preserve">Khps Yellimunnolli </t>
  </si>
  <si>
    <t>Khps Badkundri (not mentioned)</t>
  </si>
  <si>
    <t>Khps Tarihal</t>
  </si>
  <si>
    <t>KHPBS Yellimunnolli</t>
  </si>
  <si>
    <t>KHPGS Yellimunnolli</t>
  </si>
  <si>
    <t>KHPS Badkundri</t>
  </si>
  <si>
    <t xml:space="preserve">GHPS Gandinagar </t>
  </si>
  <si>
    <t>KHPS Kelageri</t>
  </si>
  <si>
    <t>HR</t>
  </si>
  <si>
    <t>Ghs Islampur</t>
  </si>
  <si>
    <t>Yes</t>
  </si>
  <si>
    <t>Photo Posted on group</t>
  </si>
  <si>
    <t>Finance</t>
  </si>
  <si>
    <t>KHPS Ammanagi</t>
  </si>
  <si>
    <t>Place</t>
  </si>
  <si>
    <t>Belagavi</t>
  </si>
  <si>
    <t>UHPS Solapur</t>
  </si>
  <si>
    <t>KHPS Beniwad</t>
  </si>
  <si>
    <t>GHPS Sattur</t>
  </si>
  <si>
    <t>KHPS Unkal</t>
  </si>
  <si>
    <t>GHS Unkal</t>
  </si>
  <si>
    <t>KHPS Kangala</t>
  </si>
  <si>
    <t>MHPS Kanagla</t>
  </si>
  <si>
    <t>GHS Beeranaholi</t>
  </si>
  <si>
    <t>KHPS Hagidal</t>
  </si>
  <si>
    <t>GHS Hagidal</t>
  </si>
  <si>
    <t>KHPS Basapur</t>
  </si>
  <si>
    <t>UHPS Basapur</t>
  </si>
  <si>
    <t>KHPS Anchitgeri</t>
  </si>
  <si>
    <t>Khps Banapur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</si>
</sst>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" xfId="0" applyFont="1" applyBorder="1"/>
    <xf numFmtId="0" fontId="1" fillId="7" borderId="1" xfId="0" applyFont="1" applyFill="1" applyBorder="1"/>
    <xf numFmtId="0" fontId="1" fillId="0" borderId="11" xfId="0" applyFont="1" applyBorder="1" applyAlignment="1">
      <alignment horizontal="center"/>
    </xf>
    <xf numFmtId="0" fontId="0" fillId="0" borderId="11" xfId="0" applyBorder="1"/>
    <xf numFmtId="0" fontId="1" fillId="0" borderId="10" xfId="0" applyFont="1" applyBorder="1" applyAlignment="1">
      <alignment horizontal="center"/>
    </xf>
    <xf numFmtId="0" fontId="0" fillId="0" borderId="6" xfId="0" applyBorder="1"/>
    <xf numFmtId="0" fontId="1" fillId="5" borderId="13" xfId="0" applyFont="1" applyFill="1" applyBorder="1"/>
    <xf numFmtId="0" fontId="1" fillId="8" borderId="13" xfId="0" applyFont="1" applyFill="1" applyBorder="1"/>
    <xf numFmtId="0" fontId="1" fillId="9" borderId="14" xfId="0" applyFont="1" applyFill="1" applyBorder="1"/>
    <xf numFmtId="0" fontId="1" fillId="3" borderId="1" xfId="0" applyFont="1" applyFill="1" applyBorder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top"/>
    </xf>
    <xf numFmtId="0" fontId="0" fillId="7" borderId="1" xfId="0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" fillId="12" borderId="10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7" fillId="0" borderId="0" xfId="0" applyFont="1"/>
    <xf numFmtId="0" fontId="2" fillId="0" borderId="0" xfId="0" applyFont="1"/>
    <xf numFmtId="0" fontId="0" fillId="0" borderId="20" xfId="0" applyBorder="1" applyAlignment="1">
      <alignment horizontal="right"/>
    </xf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vertical="center" wrapText="1"/>
    </xf>
    <xf numFmtId="0" fontId="1" fillId="7" borderId="16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1" fillId="7" borderId="0" xfId="0" applyFont="1" applyFill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21" xfId="0" applyFont="1" applyBorder="1"/>
    <xf numFmtId="0" fontId="11" fillId="14" borderId="21" xfId="0" applyFont="1" applyFill="1" applyBorder="1" applyAlignment="1">
      <alignment wrapText="1"/>
    </xf>
    <xf numFmtId="0" fontId="0" fillId="11" borderId="1" xfId="0" applyFill="1" applyBorder="1"/>
    <xf numFmtId="0" fontId="0" fillId="0" borderId="22" xfId="0" applyBorder="1"/>
    <xf numFmtId="0" fontId="1" fillId="0" borderId="0" xfId="0" applyFont="1" applyAlignment="1">
      <alignment horizontal="right"/>
    </xf>
    <xf numFmtId="0" fontId="0" fillId="0" borderId="23" xfId="0" applyBorder="1"/>
    <xf numFmtId="0" fontId="0" fillId="0" borderId="24" xfId="0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0" borderId="1" xfId="0" applyBorder="1" applyAlignment="1">
      <alignment wrapText="1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" fillId="11" borderId="1" xfId="0" applyFont="1" applyFill="1" applyBorder="1"/>
    <xf numFmtId="0" fontId="13" fillId="11" borderId="1" xfId="0" applyFont="1" applyFill="1" applyBorder="1"/>
    <xf numFmtId="0" fontId="1" fillId="13" borderId="1" xfId="0" applyFont="1" applyFill="1" applyBorder="1"/>
    <xf numFmtId="0" fontId="1" fillId="10" borderId="1" xfId="0" applyFont="1" applyFill="1" applyBorder="1"/>
    <xf numFmtId="0" fontId="11" fillId="0" borderId="1" xfId="0" applyFont="1" applyBorder="1"/>
    <xf numFmtId="0" fontId="0" fillId="0" borderId="20" xfId="0" applyBorder="1"/>
    <xf numFmtId="0" fontId="0" fillId="0" borderId="26" xfId="0" applyBorder="1"/>
    <xf numFmtId="0" fontId="15" fillId="11" borderId="1" xfId="0" applyFont="1" applyFill="1" applyBorder="1"/>
    <xf numFmtId="0" fontId="12" fillId="0" borderId="1" xfId="0" applyFont="1" applyBorder="1" applyAlignment="1">
      <alignment horizontal="center" wrapText="1"/>
    </xf>
    <xf numFmtId="0" fontId="1" fillId="7" borderId="1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67A2-CE89-42C2-BA39-58C6C35E7E03}">
  <sheetPr codeName="Sheet2" filterMode="1">
    <tabColor rgb="FFFF0000"/>
    <pageSetUpPr fitToPage="1"/>
  </sheetPr>
  <dimension ref="A1:AT142"/>
  <sheetViews>
    <sheetView tabSelected="1" zoomScale="90" zoomScaleNormal="100" workbookViewId="0">
      <pane xSplit="4" ySplit="2" topLeftCell="AK60" activePane="bottomRight" state="frozen"/>
      <selection pane="topRight" activeCell="E1" sqref="E1"/>
      <selection pane="bottomLeft" activeCell="A3" sqref="A3"/>
      <selection pane="bottomRight" activeCell="AP118" sqref="AP118"/>
    </sheetView>
  </sheetViews>
  <sheetFormatPr defaultRowHeight="15" x14ac:dyDescent="0.25"/>
  <cols>
    <col min="2" max="2" width="8.7109375" bestFit="1" customWidth="1"/>
    <col min="3" max="3" width="8" bestFit="1" customWidth="1"/>
    <col min="4" max="4" width="39.7109375" bestFit="1" customWidth="1"/>
    <col min="5" max="5" width="9.5703125" bestFit="1" customWidth="1"/>
    <col min="6" max="6" width="7.28515625" customWidth="1"/>
    <col min="7" max="7" width="9.42578125" customWidth="1"/>
    <col min="8" max="8" width="8.28515625" customWidth="1"/>
    <col min="9" max="9" width="9.5703125" customWidth="1"/>
    <col min="10" max="11" width="9.5703125" bestFit="1" customWidth="1"/>
    <col min="12" max="12" width="13.5703125" bestFit="1" customWidth="1"/>
    <col min="13" max="13" width="10.42578125" bestFit="1" customWidth="1"/>
    <col min="14" max="14" width="14.85546875" bestFit="1" customWidth="1"/>
    <col min="15" max="15" width="18.85546875" customWidth="1"/>
    <col min="16" max="16" width="16.28515625" customWidth="1"/>
    <col min="17" max="17" width="6.7109375" bestFit="1" customWidth="1"/>
    <col min="18" max="18" width="7.7109375" bestFit="1" customWidth="1"/>
    <col min="19" max="19" width="7.7109375" customWidth="1"/>
    <col min="20" max="20" width="8.42578125" bestFit="1" customWidth="1"/>
    <col min="21" max="21" width="7.85546875" bestFit="1" customWidth="1"/>
    <col min="22" max="22" width="8.42578125" customWidth="1"/>
    <col min="23" max="23" width="6.28515625" bestFit="1" customWidth="1"/>
    <col min="24" max="24" width="5.5703125" bestFit="1" customWidth="1"/>
    <col min="25" max="25" width="9" bestFit="1" customWidth="1"/>
    <col min="26" max="26" width="7.85546875" bestFit="1" customWidth="1"/>
    <col min="27" max="27" width="6.140625" bestFit="1" customWidth="1"/>
    <col min="28" max="28" width="8.85546875" bestFit="1" customWidth="1"/>
    <col min="29" max="29" width="8.42578125" bestFit="1" customWidth="1"/>
    <col min="30" max="30" width="8.85546875" bestFit="1" customWidth="1"/>
    <col min="31" max="31" width="8.42578125" bestFit="1" customWidth="1"/>
    <col min="32" max="32" width="10.7109375" bestFit="1" customWidth="1"/>
    <col min="33" max="33" width="8.42578125" bestFit="1" customWidth="1"/>
    <col min="34" max="34" width="6.42578125" customWidth="1"/>
    <col min="35" max="35" width="6.5703125" customWidth="1"/>
    <col min="36" max="36" width="9.42578125" bestFit="1" customWidth="1"/>
    <col min="37" max="37" width="11.140625" bestFit="1" customWidth="1"/>
    <col min="38" max="38" width="9.85546875" customWidth="1"/>
    <col min="40" max="40" width="5.140625" customWidth="1"/>
    <col min="41" max="41" width="4.85546875" bestFit="1" customWidth="1"/>
    <col min="42" max="42" width="8.7109375" bestFit="1" customWidth="1"/>
    <col min="43" max="43" width="15.7109375" style="5" bestFit="1" customWidth="1"/>
    <col min="44" max="44" width="11.7109375" customWidth="1"/>
    <col min="45" max="45" width="21" customWidth="1"/>
  </cols>
  <sheetData>
    <row r="1" spans="2:43" x14ac:dyDescent="0.25">
      <c r="B1" s="76" t="s">
        <v>70</v>
      </c>
      <c r="C1" s="78" t="s">
        <v>6</v>
      </c>
      <c r="D1" s="80" t="s">
        <v>16</v>
      </c>
      <c r="E1" s="37" t="s">
        <v>43</v>
      </c>
      <c r="F1" s="11" t="s">
        <v>17</v>
      </c>
      <c r="G1" s="11"/>
      <c r="H1" s="11"/>
      <c r="I1" s="11"/>
      <c r="J1" s="37" t="s">
        <v>27</v>
      </c>
      <c r="K1" s="11" t="s">
        <v>17</v>
      </c>
      <c r="L1" s="11"/>
      <c r="M1" s="11"/>
      <c r="N1" s="11"/>
      <c r="O1" s="37" t="s">
        <v>28</v>
      </c>
      <c r="P1" s="11" t="s">
        <v>17</v>
      </c>
      <c r="Q1" s="11"/>
      <c r="R1" s="11"/>
      <c r="S1" s="11"/>
      <c r="T1" s="37" t="s">
        <v>29</v>
      </c>
      <c r="U1" s="11" t="s">
        <v>17</v>
      </c>
      <c r="V1" s="11"/>
      <c r="W1" s="11"/>
      <c r="X1" s="11"/>
      <c r="Y1" s="38" t="s">
        <v>30</v>
      </c>
      <c r="Z1" s="11">
        <v>160</v>
      </c>
      <c r="AA1" s="38" t="s">
        <v>31</v>
      </c>
      <c r="AB1" s="11" t="s">
        <v>22</v>
      </c>
      <c r="AC1" s="37" t="s">
        <v>32</v>
      </c>
      <c r="AD1" s="11" t="s">
        <v>22</v>
      </c>
      <c r="AE1" s="37" t="s">
        <v>33</v>
      </c>
      <c r="AF1" s="39" t="s">
        <v>23</v>
      </c>
      <c r="AG1" s="37" t="s">
        <v>34</v>
      </c>
      <c r="AH1" s="39" t="s">
        <v>23</v>
      </c>
      <c r="AI1" s="39"/>
      <c r="AJ1" s="37" t="s">
        <v>35</v>
      </c>
      <c r="AK1" s="39" t="s">
        <v>22</v>
      </c>
      <c r="AL1" s="39"/>
      <c r="AM1" s="37"/>
      <c r="AN1" s="39"/>
      <c r="AO1" s="39"/>
      <c r="AP1" s="74" t="s">
        <v>45</v>
      </c>
      <c r="AQ1" s="72" t="s">
        <v>56</v>
      </c>
    </row>
    <row r="2" spans="2:43" x14ac:dyDescent="0.25">
      <c r="B2" s="77"/>
      <c r="C2" s="79"/>
      <c r="D2" s="81"/>
      <c r="E2" s="19" t="s">
        <v>36</v>
      </c>
      <c r="F2" s="11" t="s">
        <v>18</v>
      </c>
      <c r="G2" s="11" t="s">
        <v>19</v>
      </c>
      <c r="H2" s="11" t="s">
        <v>20</v>
      </c>
      <c r="I2" s="11" t="s">
        <v>21</v>
      </c>
      <c r="J2" s="19" t="s">
        <v>36</v>
      </c>
      <c r="K2" s="11" t="s">
        <v>18</v>
      </c>
      <c r="L2" s="71" t="s">
        <v>19</v>
      </c>
      <c r="M2" s="11" t="s">
        <v>20</v>
      </c>
      <c r="N2" s="11" t="s">
        <v>21</v>
      </c>
      <c r="O2" s="19" t="s">
        <v>36</v>
      </c>
      <c r="P2" s="11" t="s">
        <v>18</v>
      </c>
      <c r="Q2" s="11" t="s">
        <v>19</v>
      </c>
      <c r="R2" s="11" t="s">
        <v>20</v>
      </c>
      <c r="S2" s="11" t="s">
        <v>21</v>
      </c>
      <c r="T2" s="19" t="s">
        <v>36</v>
      </c>
      <c r="U2" s="11" t="s">
        <v>18</v>
      </c>
      <c r="V2" s="11" t="s">
        <v>19</v>
      </c>
      <c r="W2" s="11" t="s">
        <v>20</v>
      </c>
      <c r="X2" s="11" t="s">
        <v>21</v>
      </c>
      <c r="Y2" s="19" t="s">
        <v>36</v>
      </c>
      <c r="Z2" s="11" t="s">
        <v>18</v>
      </c>
      <c r="AA2" s="19" t="s">
        <v>36</v>
      </c>
      <c r="AB2" s="11" t="s">
        <v>18</v>
      </c>
      <c r="AC2" s="19" t="s">
        <v>36</v>
      </c>
      <c r="AD2" s="11" t="s">
        <v>18</v>
      </c>
      <c r="AE2" s="19" t="s">
        <v>36</v>
      </c>
      <c r="AF2" s="11" t="s">
        <v>18</v>
      </c>
      <c r="AG2" s="19" t="s">
        <v>36</v>
      </c>
      <c r="AH2" s="11" t="s">
        <v>18</v>
      </c>
      <c r="AI2" s="11" t="s">
        <v>24</v>
      </c>
      <c r="AJ2" s="19" t="s">
        <v>36</v>
      </c>
      <c r="AK2" s="11" t="s">
        <v>18</v>
      </c>
      <c r="AL2" s="11" t="s">
        <v>24</v>
      </c>
      <c r="AM2" s="19"/>
      <c r="AN2" s="11"/>
      <c r="AO2" s="11"/>
      <c r="AP2" s="75"/>
      <c r="AQ2" s="73"/>
    </row>
    <row r="3" spans="2:43" hidden="1" x14ac:dyDescent="0.25">
      <c r="B3" s="10" t="s">
        <v>80</v>
      </c>
      <c r="C3" s="96">
        <v>1</v>
      </c>
      <c r="D3" s="10" t="s">
        <v>8</v>
      </c>
      <c r="E3" s="2">
        <v>12</v>
      </c>
      <c r="F3" s="1">
        <f t="shared" ref="F3" si="0">E3*1</f>
        <v>12</v>
      </c>
      <c r="G3" s="1">
        <f t="shared" ref="G3" si="1">E3*1</f>
        <v>12</v>
      </c>
      <c r="H3" s="1">
        <f t="shared" ref="H3" si="2">E3*1</f>
        <v>12</v>
      </c>
      <c r="I3" s="1">
        <f t="shared" ref="I3" si="3">E3*1</f>
        <v>12</v>
      </c>
      <c r="J3" s="2">
        <v>23</v>
      </c>
      <c r="K3" s="1">
        <f t="shared" ref="K3" si="4">J3*1</f>
        <v>23</v>
      </c>
      <c r="L3" s="1">
        <f t="shared" ref="L3" si="5">J3*1</f>
        <v>23</v>
      </c>
      <c r="M3" s="1">
        <f t="shared" ref="M3" si="6">J3*1</f>
        <v>23</v>
      </c>
      <c r="N3" s="1">
        <f t="shared" ref="N3" si="7">J3*1</f>
        <v>23</v>
      </c>
      <c r="O3" s="2">
        <v>29</v>
      </c>
      <c r="P3" s="1">
        <f t="shared" ref="P3" si="8">O3*1</f>
        <v>29</v>
      </c>
      <c r="Q3" s="1">
        <f t="shared" ref="Q3" si="9">O3*1</f>
        <v>29</v>
      </c>
      <c r="R3" s="1">
        <f t="shared" ref="R3" si="10">O3*1</f>
        <v>29</v>
      </c>
      <c r="S3" s="1">
        <f t="shared" ref="S3" si="11">O3*1</f>
        <v>29</v>
      </c>
      <c r="T3" s="2">
        <v>26</v>
      </c>
      <c r="U3" s="1">
        <f>T3*1</f>
        <v>26</v>
      </c>
      <c r="V3" s="1">
        <f t="shared" ref="V3:X3" si="12">U3*1</f>
        <v>26</v>
      </c>
      <c r="W3" s="1">
        <f t="shared" si="12"/>
        <v>26</v>
      </c>
      <c r="X3" s="1">
        <f t="shared" si="12"/>
        <v>26</v>
      </c>
      <c r="Y3" s="2">
        <v>40</v>
      </c>
      <c r="Z3" s="1">
        <f>Y3*8</f>
        <v>320</v>
      </c>
      <c r="AA3" s="2">
        <v>51</v>
      </c>
      <c r="AB3" s="1">
        <f>AA3*8</f>
        <v>408</v>
      </c>
      <c r="AC3" s="2">
        <v>50</v>
      </c>
      <c r="AD3" s="1">
        <f>AC3*8</f>
        <v>400</v>
      </c>
      <c r="AE3" s="2">
        <v>51</v>
      </c>
      <c r="AF3" s="1">
        <f>AE3*8</f>
        <v>408</v>
      </c>
      <c r="AG3" s="2"/>
      <c r="AH3" s="1">
        <f>AG3*8</f>
        <v>0</v>
      </c>
      <c r="AI3" s="1">
        <f>AG3*4</f>
        <v>0</v>
      </c>
      <c r="AJ3" s="2"/>
      <c r="AK3" s="1">
        <f>AJ3*8</f>
        <v>0</v>
      </c>
      <c r="AL3" s="1">
        <f>AJ3*4</f>
        <v>0</v>
      </c>
      <c r="AM3" s="2"/>
      <c r="AN3" s="1"/>
      <c r="AO3" s="1"/>
      <c r="AP3" s="1">
        <f>E3+AM3+AJ3+AG3+AE3+AC3+AA3+Y3+T3+O3+J3</f>
        <v>282</v>
      </c>
      <c r="AQ3" s="32">
        <f>SUM(F3,G3,H3,I3,K3,L3,M3,N3,P3,Q3,R3,S3,U3,V3,W3,X3,Z3,AB3,AD3,AF3,AH3,AI3,AK3,AL3,AN3,AO3)</f>
        <v>1896</v>
      </c>
    </row>
    <row r="4" spans="2:43" hidden="1" x14ac:dyDescent="0.25">
      <c r="B4" s="10" t="s">
        <v>80</v>
      </c>
      <c r="C4" s="96">
        <v>2</v>
      </c>
      <c r="D4" s="10" t="s">
        <v>2</v>
      </c>
      <c r="E4" s="2">
        <v>5</v>
      </c>
      <c r="F4" s="1">
        <f>E4*1</f>
        <v>5</v>
      </c>
      <c r="G4" s="1">
        <f t="shared" ref="G4:G17" si="13">E4*1</f>
        <v>5</v>
      </c>
      <c r="H4" s="1">
        <f t="shared" ref="H4:H17" si="14">E4*1</f>
        <v>5</v>
      </c>
      <c r="I4" s="1">
        <f t="shared" ref="I4:I17" si="15">E4*1</f>
        <v>5</v>
      </c>
      <c r="J4" s="2">
        <v>17</v>
      </c>
      <c r="K4" s="1">
        <f t="shared" ref="K4:K25" si="16">J4*1</f>
        <v>17</v>
      </c>
      <c r="L4" s="1">
        <f t="shared" ref="L4:L25" si="17">J4*1</f>
        <v>17</v>
      </c>
      <c r="M4" s="1">
        <f t="shared" ref="M4:M25" si="18">J4*1</f>
        <v>17</v>
      </c>
      <c r="N4" s="1">
        <f t="shared" ref="N4:N25" si="19">J4*1</f>
        <v>17</v>
      </c>
      <c r="O4" s="2">
        <v>15</v>
      </c>
      <c r="P4" s="1">
        <f t="shared" ref="P4:P53" si="20">O4*1</f>
        <v>15</v>
      </c>
      <c r="Q4" s="1">
        <f t="shared" ref="Q4:Q53" si="21">O4*1</f>
        <v>15</v>
      </c>
      <c r="R4" s="1">
        <f t="shared" ref="R4:R53" si="22">O4*1</f>
        <v>15</v>
      </c>
      <c r="S4" s="1">
        <f t="shared" ref="S4:S53" si="23">O4*1</f>
        <v>15</v>
      </c>
      <c r="T4" s="2">
        <v>19</v>
      </c>
      <c r="U4" s="1">
        <f t="shared" ref="U4:X4" si="24">T4*1</f>
        <v>19</v>
      </c>
      <c r="V4" s="1">
        <f t="shared" si="24"/>
        <v>19</v>
      </c>
      <c r="W4" s="1">
        <f t="shared" si="24"/>
        <v>19</v>
      </c>
      <c r="X4" s="1">
        <f t="shared" si="24"/>
        <v>19</v>
      </c>
      <c r="Y4" s="2">
        <v>21</v>
      </c>
      <c r="Z4" s="1">
        <f t="shared" ref="Z4:Z55" si="25">Y4*8</f>
        <v>168</v>
      </c>
      <c r="AA4" s="2">
        <v>20</v>
      </c>
      <c r="AB4" s="1">
        <f t="shared" ref="AB4:AB55" si="26">AA4*8</f>
        <v>160</v>
      </c>
      <c r="AC4" s="2">
        <v>33</v>
      </c>
      <c r="AD4" s="1">
        <f t="shared" ref="AD4:AD55" si="27">AC4*8</f>
        <v>264</v>
      </c>
      <c r="AE4" s="2"/>
      <c r="AF4" s="1">
        <f t="shared" ref="AF4:AF53" si="28">AE4*8</f>
        <v>0</v>
      </c>
      <c r="AG4" s="2"/>
      <c r="AH4" s="1">
        <f t="shared" ref="AH4:AH53" si="29">AG4*8</f>
        <v>0</v>
      </c>
      <c r="AI4" s="1">
        <f t="shared" ref="AI4:AI53" si="30">AG4*4</f>
        <v>0</v>
      </c>
      <c r="AJ4" s="2"/>
      <c r="AK4" s="1">
        <f t="shared" ref="AK4:AK53" si="31">AJ4*8</f>
        <v>0</v>
      </c>
      <c r="AL4" s="1">
        <f t="shared" ref="AL4:AL53" si="32">AJ4*4</f>
        <v>0</v>
      </c>
      <c r="AM4" s="2"/>
      <c r="AN4" s="1"/>
      <c r="AO4" s="1"/>
      <c r="AP4" s="1">
        <f>E4+AM4+AJ4+AG4+AE4+AC4+AA4+Y4+T4+O4+J4</f>
        <v>130</v>
      </c>
      <c r="AQ4" s="32">
        <f t="shared" ref="AQ4:AQ67" si="33">SUM(F4,G4,H4,I4,K4,L4,M4,N4,P4,Q4,R4,S4,U4,V4,W4,X4,Z4,AB4,AD4,AF4,AH4,AI4,AK4,AL4,AN4,AO4)</f>
        <v>816</v>
      </c>
    </row>
    <row r="5" spans="2:43" hidden="1" x14ac:dyDescent="0.25">
      <c r="B5" s="10" t="s">
        <v>80</v>
      </c>
      <c r="C5" s="96">
        <v>3</v>
      </c>
      <c r="D5" s="10" t="s">
        <v>1</v>
      </c>
      <c r="E5" s="2">
        <v>12</v>
      </c>
      <c r="F5" s="1">
        <f t="shared" ref="F5:F17" si="34">E5*1</f>
        <v>12</v>
      </c>
      <c r="G5" s="1">
        <f t="shared" si="13"/>
        <v>12</v>
      </c>
      <c r="H5" s="1">
        <f t="shared" si="14"/>
        <v>12</v>
      </c>
      <c r="I5" s="1">
        <f t="shared" si="15"/>
        <v>12</v>
      </c>
      <c r="J5" s="2">
        <v>15</v>
      </c>
      <c r="K5" s="1">
        <f t="shared" si="16"/>
        <v>15</v>
      </c>
      <c r="L5" s="1">
        <f t="shared" si="17"/>
        <v>15</v>
      </c>
      <c r="M5" s="1">
        <f t="shared" si="18"/>
        <v>15</v>
      </c>
      <c r="N5" s="1">
        <f t="shared" si="19"/>
        <v>15</v>
      </c>
      <c r="O5" s="2">
        <v>18</v>
      </c>
      <c r="P5" s="1">
        <f t="shared" si="20"/>
        <v>18</v>
      </c>
      <c r="Q5" s="1">
        <f t="shared" si="21"/>
        <v>18</v>
      </c>
      <c r="R5" s="1">
        <f t="shared" si="22"/>
        <v>18</v>
      </c>
      <c r="S5" s="1">
        <f t="shared" si="23"/>
        <v>18</v>
      </c>
      <c r="T5" s="2">
        <v>15</v>
      </c>
      <c r="U5" s="1">
        <f t="shared" ref="U5:X5" si="35">T5*1</f>
        <v>15</v>
      </c>
      <c r="V5" s="1">
        <f t="shared" si="35"/>
        <v>15</v>
      </c>
      <c r="W5" s="1">
        <f t="shared" si="35"/>
        <v>15</v>
      </c>
      <c r="X5" s="1">
        <f t="shared" si="35"/>
        <v>15</v>
      </c>
      <c r="Y5" s="2">
        <v>28</v>
      </c>
      <c r="Z5" s="1">
        <f t="shared" si="25"/>
        <v>224</v>
      </c>
      <c r="AA5" s="2">
        <v>22</v>
      </c>
      <c r="AB5" s="1">
        <f t="shared" si="26"/>
        <v>176</v>
      </c>
      <c r="AC5" s="2">
        <v>24</v>
      </c>
      <c r="AD5" s="1">
        <f t="shared" si="27"/>
        <v>192</v>
      </c>
      <c r="AE5" s="2"/>
      <c r="AF5" s="1">
        <f t="shared" si="28"/>
        <v>0</v>
      </c>
      <c r="AG5" s="2"/>
      <c r="AH5" s="1">
        <f t="shared" si="29"/>
        <v>0</v>
      </c>
      <c r="AI5" s="1">
        <f t="shared" si="30"/>
        <v>0</v>
      </c>
      <c r="AJ5" s="2"/>
      <c r="AK5" s="1">
        <f t="shared" si="31"/>
        <v>0</v>
      </c>
      <c r="AL5" s="1">
        <f t="shared" si="32"/>
        <v>0</v>
      </c>
      <c r="AM5" s="2"/>
      <c r="AN5" s="1"/>
      <c r="AO5" s="1"/>
      <c r="AP5" s="1">
        <f t="shared" ref="AP5:AP67" si="36">E5+AM5+AJ5+AG5+AE5+AC5+AA5+Y5+T5+O5+J5</f>
        <v>134</v>
      </c>
      <c r="AQ5" s="32">
        <f t="shared" si="33"/>
        <v>832</v>
      </c>
    </row>
    <row r="6" spans="2:43" hidden="1" x14ac:dyDescent="0.25">
      <c r="B6" s="10" t="s">
        <v>80</v>
      </c>
      <c r="C6" s="96">
        <v>4</v>
      </c>
      <c r="D6" s="10" t="s">
        <v>9</v>
      </c>
      <c r="E6" s="2">
        <v>18</v>
      </c>
      <c r="F6" s="1">
        <f t="shared" si="34"/>
        <v>18</v>
      </c>
      <c r="G6" s="1">
        <f t="shared" si="13"/>
        <v>18</v>
      </c>
      <c r="H6" s="1">
        <f t="shared" si="14"/>
        <v>18</v>
      </c>
      <c r="I6" s="1">
        <f t="shared" si="15"/>
        <v>18</v>
      </c>
      <c r="J6" s="2">
        <v>17</v>
      </c>
      <c r="K6" s="1">
        <f t="shared" si="16"/>
        <v>17</v>
      </c>
      <c r="L6" s="1">
        <f t="shared" si="17"/>
        <v>17</v>
      </c>
      <c r="M6" s="1">
        <f t="shared" si="18"/>
        <v>17</v>
      </c>
      <c r="N6" s="1">
        <f t="shared" si="19"/>
        <v>17</v>
      </c>
      <c r="O6" s="2">
        <v>29</v>
      </c>
      <c r="P6" s="1">
        <f t="shared" si="20"/>
        <v>29</v>
      </c>
      <c r="Q6" s="1">
        <f t="shared" si="21"/>
        <v>29</v>
      </c>
      <c r="R6" s="1">
        <f t="shared" si="22"/>
        <v>29</v>
      </c>
      <c r="S6" s="1">
        <f t="shared" si="23"/>
        <v>29</v>
      </c>
      <c r="T6" s="2">
        <v>26</v>
      </c>
      <c r="U6" s="1">
        <f t="shared" ref="U6:X6" si="37">T6*1</f>
        <v>26</v>
      </c>
      <c r="V6" s="1">
        <f t="shared" si="37"/>
        <v>26</v>
      </c>
      <c r="W6" s="1">
        <f t="shared" si="37"/>
        <v>26</v>
      </c>
      <c r="X6" s="1">
        <f t="shared" si="37"/>
        <v>26</v>
      </c>
      <c r="Y6" s="2">
        <v>25</v>
      </c>
      <c r="Z6" s="1">
        <f t="shared" si="25"/>
        <v>200</v>
      </c>
      <c r="AA6" s="2">
        <v>18</v>
      </c>
      <c r="AB6" s="1">
        <f t="shared" si="26"/>
        <v>144</v>
      </c>
      <c r="AC6" s="2">
        <v>28</v>
      </c>
      <c r="AD6" s="1">
        <f t="shared" si="27"/>
        <v>224</v>
      </c>
      <c r="AE6" s="2"/>
      <c r="AF6" s="1">
        <f t="shared" si="28"/>
        <v>0</v>
      </c>
      <c r="AG6" s="2"/>
      <c r="AH6" s="1">
        <f t="shared" si="29"/>
        <v>0</v>
      </c>
      <c r="AI6" s="1">
        <f t="shared" si="30"/>
        <v>0</v>
      </c>
      <c r="AJ6" s="2"/>
      <c r="AK6" s="1">
        <f t="shared" si="31"/>
        <v>0</v>
      </c>
      <c r="AL6" s="1">
        <f t="shared" si="32"/>
        <v>0</v>
      </c>
      <c r="AM6" s="2"/>
      <c r="AN6" s="1"/>
      <c r="AO6" s="1"/>
      <c r="AP6" s="1">
        <f t="shared" si="36"/>
        <v>161</v>
      </c>
      <c r="AQ6" s="32">
        <f t="shared" si="33"/>
        <v>928</v>
      </c>
    </row>
    <row r="7" spans="2:43" hidden="1" x14ac:dyDescent="0.25">
      <c r="B7" s="10" t="s">
        <v>80</v>
      </c>
      <c r="C7" s="96">
        <v>5</v>
      </c>
      <c r="D7" s="10" t="s">
        <v>10</v>
      </c>
      <c r="E7" s="2">
        <v>22</v>
      </c>
      <c r="F7" s="1">
        <f t="shared" si="34"/>
        <v>22</v>
      </c>
      <c r="G7" s="1">
        <f t="shared" si="13"/>
        <v>22</v>
      </c>
      <c r="H7" s="1">
        <f t="shared" si="14"/>
        <v>22</v>
      </c>
      <c r="I7" s="1">
        <f t="shared" si="15"/>
        <v>22</v>
      </c>
      <c r="J7" s="2"/>
      <c r="K7" s="1">
        <f t="shared" si="16"/>
        <v>0</v>
      </c>
      <c r="L7" s="1">
        <f t="shared" si="17"/>
        <v>0</v>
      </c>
      <c r="M7" s="1">
        <f t="shared" si="18"/>
        <v>0</v>
      </c>
      <c r="N7" s="1">
        <f t="shared" si="19"/>
        <v>0</v>
      </c>
      <c r="O7" s="2"/>
      <c r="P7" s="1">
        <f t="shared" si="20"/>
        <v>0</v>
      </c>
      <c r="Q7" s="1">
        <f t="shared" si="21"/>
        <v>0</v>
      </c>
      <c r="R7" s="1">
        <f t="shared" si="22"/>
        <v>0</v>
      </c>
      <c r="S7" s="1">
        <f t="shared" si="23"/>
        <v>0</v>
      </c>
      <c r="T7" s="2"/>
      <c r="U7" s="1">
        <f t="shared" ref="U7:X7" si="38">T7*1</f>
        <v>0</v>
      </c>
      <c r="V7" s="1">
        <f t="shared" si="38"/>
        <v>0</v>
      </c>
      <c r="W7" s="1">
        <f t="shared" si="38"/>
        <v>0</v>
      </c>
      <c r="X7" s="1">
        <f t="shared" si="38"/>
        <v>0</v>
      </c>
      <c r="Y7" s="2"/>
      <c r="Z7" s="1">
        <f t="shared" si="25"/>
        <v>0</v>
      </c>
      <c r="AA7" s="2"/>
      <c r="AB7" s="1">
        <f t="shared" si="26"/>
        <v>0</v>
      </c>
      <c r="AC7" s="2"/>
      <c r="AD7" s="1">
        <f t="shared" si="27"/>
        <v>0</v>
      </c>
      <c r="AE7" s="2"/>
      <c r="AF7" s="1">
        <f t="shared" si="28"/>
        <v>0</v>
      </c>
      <c r="AG7" s="2"/>
      <c r="AH7" s="1">
        <f t="shared" si="29"/>
        <v>0</v>
      </c>
      <c r="AI7" s="1">
        <f t="shared" si="30"/>
        <v>0</v>
      </c>
      <c r="AJ7" s="2"/>
      <c r="AK7" s="1">
        <f t="shared" si="31"/>
        <v>0</v>
      </c>
      <c r="AL7" s="1">
        <f t="shared" si="32"/>
        <v>0</v>
      </c>
      <c r="AM7" s="2"/>
      <c r="AN7" s="1"/>
      <c r="AO7" s="1"/>
      <c r="AP7" s="1">
        <f t="shared" si="36"/>
        <v>22</v>
      </c>
      <c r="AQ7" s="32">
        <f t="shared" si="33"/>
        <v>88</v>
      </c>
    </row>
    <row r="8" spans="2:43" hidden="1" x14ac:dyDescent="0.25">
      <c r="B8" s="10" t="s">
        <v>80</v>
      </c>
      <c r="C8" s="96">
        <v>6</v>
      </c>
      <c r="D8" s="10" t="s">
        <v>3</v>
      </c>
      <c r="E8" s="2">
        <v>25</v>
      </c>
      <c r="F8" s="1">
        <f t="shared" si="34"/>
        <v>25</v>
      </c>
      <c r="G8" s="1">
        <f t="shared" si="13"/>
        <v>25</v>
      </c>
      <c r="H8" s="1">
        <f t="shared" si="14"/>
        <v>25</v>
      </c>
      <c r="I8" s="1">
        <f t="shared" si="15"/>
        <v>25</v>
      </c>
      <c r="J8" s="2">
        <v>25</v>
      </c>
      <c r="K8" s="1">
        <f t="shared" si="16"/>
        <v>25</v>
      </c>
      <c r="L8" s="1">
        <f t="shared" si="17"/>
        <v>25</v>
      </c>
      <c r="M8" s="1">
        <f t="shared" si="18"/>
        <v>25</v>
      </c>
      <c r="N8" s="1">
        <f t="shared" si="19"/>
        <v>25</v>
      </c>
      <c r="O8" s="2">
        <v>20</v>
      </c>
      <c r="P8" s="1">
        <f t="shared" si="20"/>
        <v>20</v>
      </c>
      <c r="Q8" s="1">
        <f t="shared" si="21"/>
        <v>20</v>
      </c>
      <c r="R8" s="1">
        <f t="shared" si="22"/>
        <v>20</v>
      </c>
      <c r="S8" s="1">
        <f t="shared" si="23"/>
        <v>20</v>
      </c>
      <c r="T8" s="2">
        <v>20</v>
      </c>
      <c r="U8" s="1">
        <f t="shared" ref="U8:X8" si="39">T8*1</f>
        <v>20</v>
      </c>
      <c r="V8" s="1">
        <f t="shared" si="39"/>
        <v>20</v>
      </c>
      <c r="W8" s="1">
        <f t="shared" si="39"/>
        <v>20</v>
      </c>
      <c r="X8" s="1">
        <f t="shared" si="39"/>
        <v>20</v>
      </c>
      <c r="Y8" s="2">
        <v>18</v>
      </c>
      <c r="Z8" s="1">
        <f t="shared" si="25"/>
        <v>144</v>
      </c>
      <c r="AA8" s="2">
        <v>18</v>
      </c>
      <c r="AB8" s="1">
        <f t="shared" si="26"/>
        <v>144</v>
      </c>
      <c r="AC8" s="2">
        <v>20</v>
      </c>
      <c r="AD8" s="1">
        <f t="shared" si="27"/>
        <v>160</v>
      </c>
      <c r="AE8" s="2"/>
      <c r="AF8" s="1">
        <f t="shared" si="28"/>
        <v>0</v>
      </c>
      <c r="AG8" s="2"/>
      <c r="AH8" s="1">
        <f t="shared" si="29"/>
        <v>0</v>
      </c>
      <c r="AI8" s="1">
        <f t="shared" si="30"/>
        <v>0</v>
      </c>
      <c r="AJ8" s="2"/>
      <c r="AK8" s="1">
        <f t="shared" si="31"/>
        <v>0</v>
      </c>
      <c r="AL8" s="1">
        <f t="shared" si="32"/>
        <v>0</v>
      </c>
      <c r="AM8" s="2"/>
      <c r="AN8" s="1"/>
      <c r="AO8" s="1"/>
      <c r="AP8" s="1">
        <f t="shared" si="36"/>
        <v>146</v>
      </c>
      <c r="AQ8" s="32">
        <f t="shared" si="33"/>
        <v>808</v>
      </c>
    </row>
    <row r="9" spans="2:43" hidden="1" x14ac:dyDescent="0.25">
      <c r="B9" s="10" t="s">
        <v>80</v>
      </c>
      <c r="C9" s="96">
        <v>7</v>
      </c>
      <c r="D9" s="10" t="s">
        <v>4</v>
      </c>
      <c r="E9" s="2">
        <v>12</v>
      </c>
      <c r="F9" s="1">
        <f t="shared" si="34"/>
        <v>12</v>
      </c>
      <c r="G9" s="1">
        <f t="shared" si="13"/>
        <v>12</v>
      </c>
      <c r="H9" s="1">
        <f t="shared" si="14"/>
        <v>12</v>
      </c>
      <c r="I9" s="1">
        <f t="shared" si="15"/>
        <v>12</v>
      </c>
      <c r="J9" s="2">
        <v>15</v>
      </c>
      <c r="K9" s="1">
        <f t="shared" si="16"/>
        <v>15</v>
      </c>
      <c r="L9" s="1">
        <f t="shared" si="17"/>
        <v>15</v>
      </c>
      <c r="M9" s="1">
        <f t="shared" si="18"/>
        <v>15</v>
      </c>
      <c r="N9" s="1">
        <f t="shared" si="19"/>
        <v>15</v>
      </c>
      <c r="O9" s="2">
        <v>8</v>
      </c>
      <c r="P9" s="1">
        <f t="shared" si="20"/>
        <v>8</v>
      </c>
      <c r="Q9" s="1">
        <f t="shared" si="21"/>
        <v>8</v>
      </c>
      <c r="R9" s="1">
        <f t="shared" si="22"/>
        <v>8</v>
      </c>
      <c r="S9" s="1">
        <f t="shared" si="23"/>
        <v>8</v>
      </c>
      <c r="T9" s="2">
        <v>10</v>
      </c>
      <c r="U9" s="1">
        <f t="shared" ref="U9:X9" si="40">T9*1</f>
        <v>10</v>
      </c>
      <c r="V9" s="1">
        <f t="shared" si="40"/>
        <v>10</v>
      </c>
      <c r="W9" s="1">
        <f t="shared" si="40"/>
        <v>10</v>
      </c>
      <c r="X9" s="1">
        <f t="shared" si="40"/>
        <v>10</v>
      </c>
      <c r="Y9" s="2">
        <v>17</v>
      </c>
      <c r="Z9" s="1">
        <f t="shared" si="25"/>
        <v>136</v>
      </c>
      <c r="AA9" s="2">
        <v>20</v>
      </c>
      <c r="AB9" s="1">
        <f t="shared" si="26"/>
        <v>160</v>
      </c>
      <c r="AC9" s="2">
        <v>13</v>
      </c>
      <c r="AD9" s="1">
        <f t="shared" si="27"/>
        <v>104</v>
      </c>
      <c r="AE9" s="2"/>
      <c r="AF9" s="1">
        <f t="shared" si="28"/>
        <v>0</v>
      </c>
      <c r="AG9" s="2"/>
      <c r="AH9" s="1">
        <f t="shared" si="29"/>
        <v>0</v>
      </c>
      <c r="AI9" s="1">
        <f t="shared" si="30"/>
        <v>0</v>
      </c>
      <c r="AJ9" s="2"/>
      <c r="AK9" s="1">
        <f t="shared" si="31"/>
        <v>0</v>
      </c>
      <c r="AL9" s="1">
        <f t="shared" si="32"/>
        <v>0</v>
      </c>
      <c r="AM9" s="2"/>
      <c r="AN9" s="1"/>
      <c r="AO9" s="1"/>
      <c r="AP9" s="1">
        <f t="shared" si="36"/>
        <v>95</v>
      </c>
      <c r="AQ9" s="32">
        <f t="shared" si="33"/>
        <v>580</v>
      </c>
    </row>
    <row r="10" spans="2:43" hidden="1" x14ac:dyDescent="0.25">
      <c r="B10" s="10" t="s">
        <v>80</v>
      </c>
      <c r="C10" s="96">
        <v>8</v>
      </c>
      <c r="D10" s="10" t="s">
        <v>11</v>
      </c>
      <c r="E10" s="2">
        <v>5</v>
      </c>
      <c r="F10" s="1">
        <f t="shared" si="34"/>
        <v>5</v>
      </c>
      <c r="G10" s="1">
        <f t="shared" si="13"/>
        <v>5</v>
      </c>
      <c r="H10" s="1">
        <f t="shared" si="14"/>
        <v>5</v>
      </c>
      <c r="I10" s="1">
        <f t="shared" si="15"/>
        <v>5</v>
      </c>
      <c r="J10" s="2">
        <v>10</v>
      </c>
      <c r="K10" s="1">
        <f t="shared" si="16"/>
        <v>10</v>
      </c>
      <c r="L10" s="1">
        <f t="shared" si="17"/>
        <v>10</v>
      </c>
      <c r="M10" s="1">
        <f t="shared" si="18"/>
        <v>10</v>
      </c>
      <c r="N10" s="1">
        <f t="shared" si="19"/>
        <v>10</v>
      </c>
      <c r="O10" s="2">
        <v>12</v>
      </c>
      <c r="P10" s="1">
        <f t="shared" si="20"/>
        <v>12</v>
      </c>
      <c r="Q10" s="1">
        <f t="shared" si="21"/>
        <v>12</v>
      </c>
      <c r="R10" s="1">
        <f t="shared" si="22"/>
        <v>12</v>
      </c>
      <c r="S10" s="1">
        <f t="shared" si="23"/>
        <v>12</v>
      </c>
      <c r="T10" s="2">
        <v>5</v>
      </c>
      <c r="U10" s="1">
        <f t="shared" ref="U10:X10" si="41">T10*1</f>
        <v>5</v>
      </c>
      <c r="V10" s="1">
        <f t="shared" si="41"/>
        <v>5</v>
      </c>
      <c r="W10" s="1">
        <f t="shared" si="41"/>
        <v>5</v>
      </c>
      <c r="X10" s="1">
        <f t="shared" si="41"/>
        <v>5</v>
      </c>
      <c r="Y10" s="2">
        <v>9</v>
      </c>
      <c r="Z10" s="1">
        <f t="shared" si="25"/>
        <v>72</v>
      </c>
      <c r="AA10" s="2">
        <v>12</v>
      </c>
      <c r="AB10" s="1">
        <f t="shared" si="26"/>
        <v>96</v>
      </c>
      <c r="AC10" s="2">
        <v>11</v>
      </c>
      <c r="AD10" s="1">
        <f t="shared" si="27"/>
        <v>88</v>
      </c>
      <c r="AE10" s="2"/>
      <c r="AF10" s="1">
        <f t="shared" si="28"/>
        <v>0</v>
      </c>
      <c r="AG10" s="2"/>
      <c r="AH10" s="1">
        <f t="shared" si="29"/>
        <v>0</v>
      </c>
      <c r="AI10" s="1">
        <f t="shared" si="30"/>
        <v>0</v>
      </c>
      <c r="AJ10" s="2"/>
      <c r="AK10" s="1">
        <f t="shared" si="31"/>
        <v>0</v>
      </c>
      <c r="AL10" s="1">
        <f t="shared" si="32"/>
        <v>0</v>
      </c>
      <c r="AM10" s="2"/>
      <c r="AN10" s="1"/>
      <c r="AO10" s="1"/>
      <c r="AP10" s="1">
        <f t="shared" si="36"/>
        <v>64</v>
      </c>
      <c r="AQ10" s="32">
        <f t="shared" si="33"/>
        <v>384</v>
      </c>
    </row>
    <row r="11" spans="2:43" hidden="1" x14ac:dyDescent="0.25">
      <c r="B11" s="10" t="s">
        <v>80</v>
      </c>
      <c r="C11" s="96">
        <v>9</v>
      </c>
      <c r="D11" s="10" t="s">
        <v>12</v>
      </c>
      <c r="E11" s="2">
        <v>14</v>
      </c>
      <c r="F11" s="1">
        <f t="shared" si="34"/>
        <v>14</v>
      </c>
      <c r="G11" s="1">
        <f t="shared" si="13"/>
        <v>14</v>
      </c>
      <c r="H11" s="1">
        <f t="shared" si="14"/>
        <v>14</v>
      </c>
      <c r="I11" s="1">
        <f t="shared" si="15"/>
        <v>14</v>
      </c>
      <c r="J11" s="2">
        <v>25</v>
      </c>
      <c r="K11" s="1">
        <f t="shared" si="16"/>
        <v>25</v>
      </c>
      <c r="L11" s="1">
        <f t="shared" si="17"/>
        <v>25</v>
      </c>
      <c r="M11" s="1">
        <f t="shared" si="18"/>
        <v>25</v>
      </c>
      <c r="N11" s="1">
        <f t="shared" si="19"/>
        <v>25</v>
      </c>
      <c r="O11" s="2">
        <v>28</v>
      </c>
      <c r="P11" s="1">
        <f t="shared" si="20"/>
        <v>28</v>
      </c>
      <c r="Q11" s="1">
        <f t="shared" si="21"/>
        <v>28</v>
      </c>
      <c r="R11" s="1">
        <f t="shared" si="22"/>
        <v>28</v>
      </c>
      <c r="S11" s="1">
        <f t="shared" si="23"/>
        <v>28</v>
      </c>
      <c r="T11" s="2">
        <v>24</v>
      </c>
      <c r="U11" s="1">
        <f t="shared" ref="U11:X11" si="42">T11*1</f>
        <v>24</v>
      </c>
      <c r="V11" s="1">
        <f t="shared" si="42"/>
        <v>24</v>
      </c>
      <c r="W11" s="1">
        <f t="shared" si="42"/>
        <v>24</v>
      </c>
      <c r="X11" s="1">
        <f t="shared" si="42"/>
        <v>24</v>
      </c>
      <c r="Y11" s="2">
        <v>21</v>
      </c>
      <c r="Z11" s="1">
        <f t="shared" si="25"/>
        <v>168</v>
      </c>
      <c r="AA11" s="2">
        <v>41</v>
      </c>
      <c r="AB11" s="1">
        <f t="shared" si="26"/>
        <v>328</v>
      </c>
      <c r="AC11" s="2">
        <v>30</v>
      </c>
      <c r="AD11" s="1">
        <f t="shared" si="27"/>
        <v>240</v>
      </c>
      <c r="AE11" s="2"/>
      <c r="AF11" s="1">
        <f t="shared" si="28"/>
        <v>0</v>
      </c>
      <c r="AG11" s="2"/>
      <c r="AH11" s="1">
        <f t="shared" si="29"/>
        <v>0</v>
      </c>
      <c r="AI11" s="1">
        <f t="shared" si="30"/>
        <v>0</v>
      </c>
      <c r="AJ11" s="2"/>
      <c r="AK11" s="1">
        <f t="shared" si="31"/>
        <v>0</v>
      </c>
      <c r="AL11" s="1">
        <f t="shared" si="32"/>
        <v>0</v>
      </c>
      <c r="AM11" s="2"/>
      <c r="AN11" s="1"/>
      <c r="AO11" s="1"/>
      <c r="AP11" s="1">
        <f t="shared" si="36"/>
        <v>183</v>
      </c>
      <c r="AQ11" s="32">
        <f t="shared" si="33"/>
        <v>1100</v>
      </c>
    </row>
    <row r="12" spans="2:43" hidden="1" x14ac:dyDescent="0.25">
      <c r="B12" s="10" t="s">
        <v>80</v>
      </c>
      <c r="C12" s="96">
        <v>10</v>
      </c>
      <c r="D12" s="10" t="s">
        <v>0</v>
      </c>
      <c r="E12" s="2">
        <v>6</v>
      </c>
      <c r="F12" s="1">
        <f t="shared" si="34"/>
        <v>6</v>
      </c>
      <c r="G12" s="1">
        <f t="shared" si="13"/>
        <v>6</v>
      </c>
      <c r="H12" s="1">
        <f t="shared" si="14"/>
        <v>6</v>
      </c>
      <c r="I12" s="1">
        <f t="shared" si="15"/>
        <v>6</v>
      </c>
      <c r="J12" s="2">
        <v>13</v>
      </c>
      <c r="K12" s="1">
        <f t="shared" si="16"/>
        <v>13</v>
      </c>
      <c r="L12" s="1">
        <f t="shared" si="17"/>
        <v>13</v>
      </c>
      <c r="M12" s="1">
        <f t="shared" si="18"/>
        <v>13</v>
      </c>
      <c r="N12" s="1">
        <f t="shared" si="19"/>
        <v>13</v>
      </c>
      <c r="O12" s="2">
        <v>19</v>
      </c>
      <c r="P12" s="1">
        <f t="shared" si="20"/>
        <v>19</v>
      </c>
      <c r="Q12" s="1">
        <f t="shared" si="21"/>
        <v>19</v>
      </c>
      <c r="R12" s="1">
        <f t="shared" si="22"/>
        <v>19</v>
      </c>
      <c r="S12" s="1">
        <f t="shared" si="23"/>
        <v>19</v>
      </c>
      <c r="T12" s="2">
        <v>22</v>
      </c>
      <c r="U12" s="1">
        <f t="shared" ref="U12:X12" si="43">T12*1</f>
        <v>22</v>
      </c>
      <c r="V12" s="1">
        <f t="shared" si="43"/>
        <v>22</v>
      </c>
      <c r="W12" s="1">
        <f t="shared" si="43"/>
        <v>22</v>
      </c>
      <c r="X12" s="1">
        <f t="shared" si="43"/>
        <v>22</v>
      </c>
      <c r="Y12" s="2">
        <v>28</v>
      </c>
      <c r="Z12" s="1">
        <f t="shared" si="25"/>
        <v>224</v>
      </c>
      <c r="AA12" s="2">
        <v>16</v>
      </c>
      <c r="AB12" s="1">
        <f t="shared" si="26"/>
        <v>128</v>
      </c>
      <c r="AC12" s="2">
        <v>25</v>
      </c>
      <c r="AD12" s="1">
        <f t="shared" si="27"/>
        <v>200</v>
      </c>
      <c r="AE12" s="2"/>
      <c r="AF12" s="1">
        <f t="shared" si="28"/>
        <v>0</v>
      </c>
      <c r="AG12" s="2"/>
      <c r="AH12" s="1">
        <f t="shared" si="29"/>
        <v>0</v>
      </c>
      <c r="AI12" s="1">
        <f t="shared" si="30"/>
        <v>0</v>
      </c>
      <c r="AJ12" s="2"/>
      <c r="AK12" s="1">
        <f t="shared" si="31"/>
        <v>0</v>
      </c>
      <c r="AL12" s="1">
        <f t="shared" si="32"/>
        <v>0</v>
      </c>
      <c r="AM12" s="2"/>
      <c r="AN12" s="1"/>
      <c r="AO12" s="1"/>
      <c r="AP12" s="1">
        <f t="shared" si="36"/>
        <v>129</v>
      </c>
      <c r="AQ12" s="32">
        <f t="shared" si="33"/>
        <v>792</v>
      </c>
    </row>
    <row r="13" spans="2:43" hidden="1" x14ac:dyDescent="0.25">
      <c r="B13" s="10" t="s">
        <v>80</v>
      </c>
      <c r="C13" s="96">
        <v>11</v>
      </c>
      <c r="D13" s="10" t="s">
        <v>13</v>
      </c>
      <c r="E13" s="2"/>
      <c r="F13" s="1">
        <f t="shared" si="34"/>
        <v>0</v>
      </c>
      <c r="G13" s="1">
        <f t="shared" si="13"/>
        <v>0</v>
      </c>
      <c r="H13" s="1">
        <f t="shared" si="14"/>
        <v>0</v>
      </c>
      <c r="I13" s="1">
        <f t="shared" si="15"/>
        <v>0</v>
      </c>
      <c r="J13" s="2"/>
      <c r="K13" s="1">
        <f t="shared" si="16"/>
        <v>0</v>
      </c>
      <c r="L13" s="1">
        <f t="shared" si="17"/>
        <v>0</v>
      </c>
      <c r="M13" s="1">
        <f t="shared" si="18"/>
        <v>0</v>
      </c>
      <c r="N13" s="1">
        <f t="shared" si="19"/>
        <v>0</v>
      </c>
      <c r="O13" s="2"/>
      <c r="P13" s="1">
        <f t="shared" si="20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T13" s="2"/>
      <c r="U13" s="1">
        <f t="shared" ref="U13:X13" si="44">T13*1</f>
        <v>0</v>
      </c>
      <c r="V13" s="1">
        <f t="shared" si="44"/>
        <v>0</v>
      </c>
      <c r="W13" s="1">
        <f t="shared" si="44"/>
        <v>0</v>
      </c>
      <c r="X13" s="1">
        <f t="shared" si="44"/>
        <v>0</v>
      </c>
      <c r="Y13" s="2"/>
      <c r="Z13" s="1">
        <f t="shared" si="25"/>
        <v>0</v>
      </c>
      <c r="AA13" s="2"/>
      <c r="AB13" s="1">
        <f t="shared" si="26"/>
        <v>0</v>
      </c>
      <c r="AC13" s="2"/>
      <c r="AD13" s="1">
        <f t="shared" si="27"/>
        <v>0</v>
      </c>
      <c r="AE13" s="2">
        <v>90</v>
      </c>
      <c r="AF13" s="1">
        <f t="shared" si="28"/>
        <v>720</v>
      </c>
      <c r="AG13" s="2">
        <v>170</v>
      </c>
      <c r="AH13" s="1">
        <f t="shared" si="29"/>
        <v>1360</v>
      </c>
      <c r="AI13" s="1">
        <f t="shared" si="30"/>
        <v>680</v>
      </c>
      <c r="AJ13" s="2">
        <v>120</v>
      </c>
      <c r="AK13" s="1">
        <f t="shared" si="31"/>
        <v>960</v>
      </c>
      <c r="AL13" s="1">
        <f t="shared" si="32"/>
        <v>480</v>
      </c>
      <c r="AM13" s="2"/>
      <c r="AN13" s="1"/>
      <c r="AO13" s="1"/>
      <c r="AP13" s="1">
        <f t="shared" si="36"/>
        <v>380</v>
      </c>
      <c r="AQ13" s="32">
        <f t="shared" si="33"/>
        <v>4200</v>
      </c>
    </row>
    <row r="14" spans="2:43" hidden="1" x14ac:dyDescent="0.25">
      <c r="B14" s="10" t="s">
        <v>80</v>
      </c>
      <c r="C14" s="96">
        <v>12</v>
      </c>
      <c r="D14" s="10" t="s">
        <v>7</v>
      </c>
      <c r="E14" s="2"/>
      <c r="F14" s="1">
        <f t="shared" si="34"/>
        <v>0</v>
      </c>
      <c r="G14" s="1">
        <f t="shared" si="13"/>
        <v>0</v>
      </c>
      <c r="H14" s="1">
        <f t="shared" si="14"/>
        <v>0</v>
      </c>
      <c r="I14" s="1">
        <f t="shared" si="15"/>
        <v>0</v>
      </c>
      <c r="J14" s="2"/>
      <c r="K14" s="1">
        <f t="shared" si="16"/>
        <v>0</v>
      </c>
      <c r="L14" s="1">
        <f t="shared" si="17"/>
        <v>0</v>
      </c>
      <c r="M14" s="1">
        <f t="shared" si="18"/>
        <v>0</v>
      </c>
      <c r="N14" s="1">
        <f t="shared" si="19"/>
        <v>0</v>
      </c>
      <c r="O14" s="2"/>
      <c r="P14" s="1">
        <f t="shared" si="20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T14" s="2"/>
      <c r="U14" s="1">
        <f t="shared" ref="U14:X14" si="45">T14*1</f>
        <v>0</v>
      </c>
      <c r="V14" s="1">
        <f t="shared" si="45"/>
        <v>0</v>
      </c>
      <c r="W14" s="1">
        <f t="shared" si="45"/>
        <v>0</v>
      </c>
      <c r="X14" s="1">
        <f t="shared" si="45"/>
        <v>0</v>
      </c>
      <c r="Y14" s="2"/>
      <c r="Z14" s="1">
        <f t="shared" si="25"/>
        <v>0</v>
      </c>
      <c r="AA14" s="2"/>
      <c r="AB14" s="1">
        <f t="shared" si="26"/>
        <v>0</v>
      </c>
      <c r="AC14" s="2"/>
      <c r="AD14" s="1">
        <f t="shared" si="27"/>
        <v>0</v>
      </c>
      <c r="AE14" s="2">
        <v>50</v>
      </c>
      <c r="AF14" s="1">
        <f t="shared" si="28"/>
        <v>400</v>
      </c>
      <c r="AG14" s="2">
        <v>49</v>
      </c>
      <c r="AH14" s="1">
        <f t="shared" si="29"/>
        <v>392</v>
      </c>
      <c r="AI14" s="1">
        <f t="shared" si="30"/>
        <v>196</v>
      </c>
      <c r="AJ14" s="2">
        <v>49</v>
      </c>
      <c r="AK14" s="1">
        <f t="shared" si="31"/>
        <v>392</v>
      </c>
      <c r="AL14" s="1">
        <f t="shared" si="32"/>
        <v>196</v>
      </c>
      <c r="AM14" s="2"/>
      <c r="AN14" s="1"/>
      <c r="AO14" s="1"/>
      <c r="AP14" s="1">
        <f t="shared" si="36"/>
        <v>148</v>
      </c>
      <c r="AQ14" s="32">
        <f t="shared" si="33"/>
        <v>1576</v>
      </c>
    </row>
    <row r="15" spans="2:43" hidden="1" x14ac:dyDescent="0.25">
      <c r="B15" s="10" t="s">
        <v>80</v>
      </c>
      <c r="C15" s="96">
        <v>13</v>
      </c>
      <c r="D15" s="10" t="s">
        <v>5</v>
      </c>
      <c r="E15" s="2"/>
      <c r="F15" s="1">
        <f t="shared" si="34"/>
        <v>0</v>
      </c>
      <c r="G15" s="1">
        <f t="shared" si="13"/>
        <v>0</v>
      </c>
      <c r="H15" s="1">
        <f t="shared" si="14"/>
        <v>0</v>
      </c>
      <c r="I15" s="1">
        <f t="shared" si="15"/>
        <v>0</v>
      </c>
      <c r="J15" s="2"/>
      <c r="K15" s="1">
        <f t="shared" si="16"/>
        <v>0</v>
      </c>
      <c r="L15" s="1">
        <f t="shared" si="17"/>
        <v>0</v>
      </c>
      <c r="M15" s="1">
        <f t="shared" si="18"/>
        <v>0</v>
      </c>
      <c r="N15" s="1">
        <f t="shared" si="19"/>
        <v>0</v>
      </c>
      <c r="O15" s="2"/>
      <c r="P15" s="1">
        <f t="shared" si="20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T15" s="2"/>
      <c r="U15" s="1">
        <f t="shared" ref="U15:X15" si="46">T15*1</f>
        <v>0</v>
      </c>
      <c r="V15" s="1">
        <f t="shared" si="46"/>
        <v>0</v>
      </c>
      <c r="W15" s="1">
        <f t="shared" si="46"/>
        <v>0</v>
      </c>
      <c r="X15" s="1">
        <f t="shared" si="46"/>
        <v>0</v>
      </c>
      <c r="Y15" s="2"/>
      <c r="Z15" s="1">
        <f t="shared" si="25"/>
        <v>0</v>
      </c>
      <c r="AA15" s="2"/>
      <c r="AB15" s="1">
        <f t="shared" si="26"/>
        <v>0</v>
      </c>
      <c r="AC15" s="2"/>
      <c r="AD15" s="1">
        <f t="shared" si="27"/>
        <v>0</v>
      </c>
      <c r="AE15" s="2">
        <v>63</v>
      </c>
      <c r="AF15" s="1">
        <f t="shared" si="28"/>
        <v>504</v>
      </c>
      <c r="AG15" s="2">
        <v>71</v>
      </c>
      <c r="AH15" s="1">
        <f t="shared" si="29"/>
        <v>568</v>
      </c>
      <c r="AI15" s="1">
        <f t="shared" si="30"/>
        <v>284</v>
      </c>
      <c r="AJ15" s="2">
        <v>52</v>
      </c>
      <c r="AK15" s="1">
        <f t="shared" si="31"/>
        <v>416</v>
      </c>
      <c r="AL15" s="1">
        <f t="shared" si="32"/>
        <v>208</v>
      </c>
      <c r="AM15" s="2"/>
      <c r="AN15" s="1"/>
      <c r="AO15" s="1"/>
      <c r="AP15" s="1">
        <f t="shared" si="36"/>
        <v>186</v>
      </c>
      <c r="AQ15" s="32">
        <f t="shared" si="33"/>
        <v>1980</v>
      </c>
    </row>
    <row r="16" spans="2:43" hidden="1" x14ac:dyDescent="0.25">
      <c r="B16" s="10" t="s">
        <v>80</v>
      </c>
      <c r="C16" s="96">
        <v>14</v>
      </c>
      <c r="D16" s="10" t="s">
        <v>14</v>
      </c>
      <c r="E16" s="2">
        <v>13</v>
      </c>
      <c r="F16" s="1">
        <f t="shared" si="34"/>
        <v>13</v>
      </c>
      <c r="G16" s="1">
        <f t="shared" si="13"/>
        <v>13</v>
      </c>
      <c r="H16" s="1">
        <f t="shared" si="14"/>
        <v>13</v>
      </c>
      <c r="I16" s="1">
        <f t="shared" si="15"/>
        <v>13</v>
      </c>
      <c r="J16" s="2">
        <v>18</v>
      </c>
      <c r="K16" s="1">
        <f t="shared" si="16"/>
        <v>18</v>
      </c>
      <c r="L16" s="1">
        <f t="shared" si="17"/>
        <v>18</v>
      </c>
      <c r="M16" s="1">
        <f t="shared" si="18"/>
        <v>18</v>
      </c>
      <c r="N16" s="1">
        <f t="shared" si="19"/>
        <v>18</v>
      </c>
      <c r="O16" s="2">
        <v>12</v>
      </c>
      <c r="P16" s="1">
        <f t="shared" si="20"/>
        <v>12</v>
      </c>
      <c r="Q16" s="1">
        <f t="shared" si="21"/>
        <v>12</v>
      </c>
      <c r="R16" s="1">
        <f t="shared" si="22"/>
        <v>12</v>
      </c>
      <c r="S16" s="1">
        <f t="shared" si="23"/>
        <v>12</v>
      </c>
      <c r="T16" s="2">
        <v>17</v>
      </c>
      <c r="U16" s="1">
        <f t="shared" ref="U16:X16" si="47">T16*1</f>
        <v>17</v>
      </c>
      <c r="V16" s="1">
        <f t="shared" si="47"/>
        <v>17</v>
      </c>
      <c r="W16" s="1">
        <f t="shared" si="47"/>
        <v>17</v>
      </c>
      <c r="X16" s="1">
        <f t="shared" si="47"/>
        <v>17</v>
      </c>
      <c r="Y16" s="2">
        <v>16</v>
      </c>
      <c r="Z16" s="1">
        <f t="shared" si="25"/>
        <v>128</v>
      </c>
      <c r="AA16" s="2">
        <v>13</v>
      </c>
      <c r="AB16" s="1">
        <f t="shared" si="26"/>
        <v>104</v>
      </c>
      <c r="AC16" s="2">
        <v>15</v>
      </c>
      <c r="AD16" s="1">
        <f t="shared" si="27"/>
        <v>120</v>
      </c>
      <c r="AE16" s="2"/>
      <c r="AF16" s="1">
        <f t="shared" si="28"/>
        <v>0</v>
      </c>
      <c r="AG16" s="2"/>
      <c r="AH16" s="1">
        <f t="shared" si="29"/>
        <v>0</v>
      </c>
      <c r="AI16" s="1">
        <f t="shared" si="30"/>
        <v>0</v>
      </c>
      <c r="AJ16" s="2"/>
      <c r="AK16" s="1">
        <f t="shared" si="31"/>
        <v>0</v>
      </c>
      <c r="AL16" s="1">
        <f t="shared" si="32"/>
        <v>0</v>
      </c>
      <c r="AM16" s="2"/>
      <c r="AN16" s="1"/>
      <c r="AO16" s="1"/>
      <c r="AP16" s="1">
        <f t="shared" si="36"/>
        <v>104</v>
      </c>
      <c r="AQ16" s="32">
        <f t="shared" si="33"/>
        <v>592</v>
      </c>
    </row>
    <row r="17" spans="2:43" hidden="1" x14ac:dyDescent="0.25">
      <c r="B17" s="10" t="s">
        <v>80</v>
      </c>
      <c r="C17" s="96">
        <v>15</v>
      </c>
      <c r="D17" s="10" t="s">
        <v>15</v>
      </c>
      <c r="E17" s="2">
        <v>10</v>
      </c>
      <c r="F17" s="1">
        <f t="shared" si="34"/>
        <v>10</v>
      </c>
      <c r="G17" s="1">
        <f t="shared" si="13"/>
        <v>10</v>
      </c>
      <c r="H17" s="1">
        <f t="shared" si="14"/>
        <v>10</v>
      </c>
      <c r="I17" s="1">
        <f t="shared" si="15"/>
        <v>10</v>
      </c>
      <c r="J17" s="2">
        <v>12</v>
      </c>
      <c r="K17" s="1">
        <f t="shared" si="16"/>
        <v>12</v>
      </c>
      <c r="L17" s="1">
        <f t="shared" si="17"/>
        <v>12</v>
      </c>
      <c r="M17" s="1">
        <f t="shared" si="18"/>
        <v>12</v>
      </c>
      <c r="N17" s="1">
        <f t="shared" si="19"/>
        <v>12</v>
      </c>
      <c r="O17" s="2">
        <v>13</v>
      </c>
      <c r="P17" s="1">
        <f t="shared" si="20"/>
        <v>13</v>
      </c>
      <c r="Q17" s="1">
        <f t="shared" si="21"/>
        <v>13</v>
      </c>
      <c r="R17" s="1">
        <f t="shared" si="22"/>
        <v>13</v>
      </c>
      <c r="S17" s="1">
        <f t="shared" si="23"/>
        <v>13</v>
      </c>
      <c r="T17" s="2">
        <v>13</v>
      </c>
      <c r="U17" s="1">
        <f t="shared" ref="U17:X17" si="48">T17*1</f>
        <v>13</v>
      </c>
      <c r="V17" s="1">
        <f t="shared" si="48"/>
        <v>13</v>
      </c>
      <c r="W17" s="1">
        <f t="shared" si="48"/>
        <v>13</v>
      </c>
      <c r="X17" s="1">
        <f t="shared" si="48"/>
        <v>13</v>
      </c>
      <c r="Y17" s="2">
        <v>14</v>
      </c>
      <c r="Z17" s="1">
        <f t="shared" si="25"/>
        <v>112</v>
      </c>
      <c r="AA17" s="2"/>
      <c r="AB17" s="1">
        <f t="shared" si="26"/>
        <v>0</v>
      </c>
      <c r="AC17" s="2"/>
      <c r="AD17" s="1">
        <f t="shared" si="27"/>
        <v>0</v>
      </c>
      <c r="AE17" s="2"/>
      <c r="AF17" s="1">
        <f t="shared" si="28"/>
        <v>0</v>
      </c>
      <c r="AG17" s="2"/>
      <c r="AH17" s="1">
        <f t="shared" si="29"/>
        <v>0</v>
      </c>
      <c r="AI17" s="1">
        <f t="shared" si="30"/>
        <v>0</v>
      </c>
      <c r="AJ17" s="2"/>
      <c r="AK17" s="1">
        <f t="shared" si="31"/>
        <v>0</v>
      </c>
      <c r="AL17" s="1">
        <f t="shared" si="32"/>
        <v>0</v>
      </c>
      <c r="AM17" s="2"/>
      <c r="AN17" s="1"/>
      <c r="AO17" s="1"/>
      <c r="AP17" s="1">
        <f t="shared" si="36"/>
        <v>62</v>
      </c>
      <c r="AQ17" s="32">
        <f t="shared" si="33"/>
        <v>304</v>
      </c>
    </row>
    <row r="18" spans="2:43" x14ac:dyDescent="0.25">
      <c r="B18" s="10" t="s">
        <v>71</v>
      </c>
      <c r="C18" s="96">
        <v>16</v>
      </c>
      <c r="D18" s="64" t="s">
        <v>101</v>
      </c>
      <c r="E18" s="1">
        <v>42</v>
      </c>
      <c r="F18" s="1">
        <f t="shared" ref="F18:F59" si="49">E18*1</f>
        <v>42</v>
      </c>
      <c r="G18" s="1">
        <f t="shared" ref="G18:G74" si="50">E18*1</f>
        <v>42</v>
      </c>
      <c r="H18" s="1">
        <f t="shared" ref="H18:H86" si="51">E18*1</f>
        <v>42</v>
      </c>
      <c r="I18" s="1">
        <f t="shared" ref="I18:I91" si="52">E18*1</f>
        <v>42</v>
      </c>
      <c r="J18" s="1">
        <v>43</v>
      </c>
      <c r="K18" s="1">
        <f>J18*1</f>
        <v>43</v>
      </c>
      <c r="L18" s="1">
        <f t="shared" si="17"/>
        <v>43</v>
      </c>
      <c r="M18" s="1">
        <f t="shared" si="18"/>
        <v>43</v>
      </c>
      <c r="N18" s="1">
        <f t="shared" si="19"/>
        <v>43</v>
      </c>
      <c r="O18" s="2">
        <v>40</v>
      </c>
      <c r="P18" s="1">
        <f t="shared" si="20"/>
        <v>40</v>
      </c>
      <c r="Q18" s="1">
        <f t="shared" si="21"/>
        <v>40</v>
      </c>
      <c r="R18" s="1">
        <f t="shared" si="22"/>
        <v>40</v>
      </c>
      <c r="S18" s="1">
        <f t="shared" si="23"/>
        <v>40</v>
      </c>
      <c r="T18" s="2">
        <v>45</v>
      </c>
      <c r="U18" s="1">
        <f t="shared" ref="U18:X18" si="53">T18*1</f>
        <v>45</v>
      </c>
      <c r="V18" s="1">
        <f t="shared" si="53"/>
        <v>45</v>
      </c>
      <c r="W18" s="1">
        <f t="shared" si="53"/>
        <v>45</v>
      </c>
      <c r="X18" s="1">
        <f t="shared" si="53"/>
        <v>45</v>
      </c>
      <c r="Y18" s="2">
        <v>45</v>
      </c>
      <c r="Z18" s="1">
        <f>Y18*8</f>
        <v>360</v>
      </c>
      <c r="AA18" s="2">
        <v>60</v>
      </c>
      <c r="AB18" s="1">
        <f t="shared" si="26"/>
        <v>480</v>
      </c>
      <c r="AC18" s="2">
        <v>62</v>
      </c>
      <c r="AD18" s="1">
        <f t="shared" si="27"/>
        <v>496</v>
      </c>
      <c r="AE18" s="2"/>
      <c r="AF18" s="1">
        <f t="shared" si="28"/>
        <v>0</v>
      </c>
      <c r="AG18" s="2"/>
      <c r="AH18" s="1">
        <f t="shared" si="29"/>
        <v>0</v>
      </c>
      <c r="AI18" s="1">
        <f t="shared" si="30"/>
        <v>0</v>
      </c>
      <c r="AJ18" s="2"/>
      <c r="AK18" s="1">
        <f t="shared" si="31"/>
        <v>0</v>
      </c>
      <c r="AL18" s="1">
        <f t="shared" si="32"/>
        <v>0</v>
      </c>
      <c r="AM18" s="2"/>
      <c r="AN18" s="1"/>
      <c r="AO18" s="1"/>
      <c r="AP18" s="1">
        <f>E18+AM18+AJ18+AG18+AE18+AC18+AA18+Y18+T18+O18+J18</f>
        <v>337</v>
      </c>
      <c r="AQ18" s="32">
        <f>SUM(F18,G18,H18,I18,K18,L18,M18,N18,P18,Q18,R18,S18,U18,V18,W18,X18,Z18,AB18,AD18,AF18,AH18,AI18,AK18,AL18,AN18,AO18)</f>
        <v>2016</v>
      </c>
    </row>
    <row r="19" spans="2:43" hidden="1" x14ac:dyDescent="0.25">
      <c r="B19" s="10" t="s">
        <v>80</v>
      </c>
      <c r="C19" s="96">
        <v>17</v>
      </c>
      <c r="D19" s="10" t="s">
        <v>44</v>
      </c>
      <c r="E19" s="2">
        <v>20</v>
      </c>
      <c r="F19" s="1">
        <f t="shared" si="49"/>
        <v>20</v>
      </c>
      <c r="G19" s="1">
        <f t="shared" si="50"/>
        <v>20</v>
      </c>
      <c r="H19" s="1">
        <f t="shared" si="51"/>
        <v>20</v>
      </c>
      <c r="I19" s="1">
        <f t="shared" si="52"/>
        <v>20</v>
      </c>
      <c r="J19" s="2">
        <v>41</v>
      </c>
      <c r="K19" s="1">
        <f t="shared" si="16"/>
        <v>41</v>
      </c>
      <c r="L19" s="1">
        <f t="shared" si="17"/>
        <v>41</v>
      </c>
      <c r="M19" s="1">
        <f t="shared" si="18"/>
        <v>41</v>
      </c>
      <c r="N19" s="1">
        <f t="shared" si="19"/>
        <v>41</v>
      </c>
      <c r="O19" s="2">
        <v>30</v>
      </c>
      <c r="P19" s="1">
        <f t="shared" si="20"/>
        <v>30</v>
      </c>
      <c r="Q19" s="1">
        <f t="shared" si="21"/>
        <v>30</v>
      </c>
      <c r="R19" s="1">
        <f t="shared" si="22"/>
        <v>30</v>
      </c>
      <c r="S19" s="1">
        <f t="shared" si="23"/>
        <v>30</v>
      </c>
      <c r="T19" s="2">
        <v>28</v>
      </c>
      <c r="U19" s="1">
        <f t="shared" ref="U19:X19" si="54">T19*1</f>
        <v>28</v>
      </c>
      <c r="V19" s="1">
        <f t="shared" si="54"/>
        <v>28</v>
      </c>
      <c r="W19" s="1">
        <f t="shared" si="54"/>
        <v>28</v>
      </c>
      <c r="X19" s="1">
        <f t="shared" si="54"/>
        <v>28</v>
      </c>
      <c r="Y19" s="2">
        <v>36</v>
      </c>
      <c r="Z19" s="1">
        <f t="shared" si="25"/>
        <v>288</v>
      </c>
      <c r="AA19" s="2">
        <v>33</v>
      </c>
      <c r="AB19" s="1">
        <f t="shared" si="26"/>
        <v>264</v>
      </c>
      <c r="AC19" s="2">
        <v>47</v>
      </c>
      <c r="AD19" s="1">
        <f t="shared" si="27"/>
        <v>376</v>
      </c>
      <c r="AE19" s="2"/>
      <c r="AF19" s="1">
        <f t="shared" si="28"/>
        <v>0</v>
      </c>
      <c r="AG19" s="2"/>
      <c r="AH19" s="1">
        <f t="shared" si="29"/>
        <v>0</v>
      </c>
      <c r="AI19" s="1">
        <f t="shared" si="30"/>
        <v>0</v>
      </c>
      <c r="AJ19" s="2"/>
      <c r="AK19" s="1">
        <f t="shared" si="31"/>
        <v>0</v>
      </c>
      <c r="AL19" s="1">
        <f t="shared" si="32"/>
        <v>0</v>
      </c>
      <c r="AM19" s="2"/>
      <c r="AN19" s="1"/>
      <c r="AO19" s="1"/>
      <c r="AP19" s="1">
        <f t="shared" si="36"/>
        <v>235</v>
      </c>
      <c r="AQ19" s="32">
        <f t="shared" si="33"/>
        <v>1404</v>
      </c>
    </row>
    <row r="20" spans="2:43" hidden="1" x14ac:dyDescent="0.25">
      <c r="B20" s="10" t="s">
        <v>80</v>
      </c>
      <c r="C20" s="96">
        <v>18</v>
      </c>
      <c r="D20" s="10" t="s">
        <v>164</v>
      </c>
      <c r="E20" s="2">
        <v>1</v>
      </c>
      <c r="F20" s="1">
        <f t="shared" si="49"/>
        <v>1</v>
      </c>
      <c r="G20" s="1">
        <f t="shared" si="50"/>
        <v>1</v>
      </c>
      <c r="H20" s="1">
        <f t="shared" si="51"/>
        <v>1</v>
      </c>
      <c r="I20" s="1">
        <f t="shared" si="52"/>
        <v>1</v>
      </c>
      <c r="J20" s="2">
        <v>9</v>
      </c>
      <c r="K20" s="1">
        <f t="shared" si="16"/>
        <v>9</v>
      </c>
      <c r="L20" s="1">
        <f t="shared" si="17"/>
        <v>9</v>
      </c>
      <c r="M20" s="1">
        <f t="shared" si="18"/>
        <v>9</v>
      </c>
      <c r="N20" s="1">
        <f t="shared" si="19"/>
        <v>9</v>
      </c>
      <c r="O20" s="2">
        <v>7</v>
      </c>
      <c r="P20" s="1">
        <f t="shared" si="20"/>
        <v>7</v>
      </c>
      <c r="Q20" s="1">
        <f t="shared" si="21"/>
        <v>7</v>
      </c>
      <c r="R20" s="1">
        <f t="shared" si="22"/>
        <v>7</v>
      </c>
      <c r="S20" s="1">
        <f t="shared" si="23"/>
        <v>7</v>
      </c>
      <c r="T20" s="2">
        <v>10</v>
      </c>
      <c r="U20" s="1">
        <f t="shared" ref="U20:X20" si="55">T20*1</f>
        <v>10</v>
      </c>
      <c r="V20" s="1">
        <f t="shared" si="55"/>
        <v>10</v>
      </c>
      <c r="W20" s="1">
        <f t="shared" si="55"/>
        <v>10</v>
      </c>
      <c r="X20" s="1">
        <f t="shared" si="55"/>
        <v>10</v>
      </c>
      <c r="Y20" s="2">
        <v>7</v>
      </c>
      <c r="Z20" s="1">
        <f t="shared" si="25"/>
        <v>56</v>
      </c>
      <c r="AA20" s="2">
        <v>13</v>
      </c>
      <c r="AB20" s="1">
        <f t="shared" si="26"/>
        <v>104</v>
      </c>
      <c r="AC20" s="2">
        <v>10</v>
      </c>
      <c r="AD20" s="1">
        <f t="shared" si="27"/>
        <v>80</v>
      </c>
      <c r="AE20" s="2"/>
      <c r="AF20" s="1">
        <f t="shared" si="28"/>
        <v>0</v>
      </c>
      <c r="AG20" s="2"/>
      <c r="AH20" s="1">
        <f t="shared" si="29"/>
        <v>0</v>
      </c>
      <c r="AI20" s="1">
        <f t="shared" si="30"/>
        <v>0</v>
      </c>
      <c r="AJ20" s="2"/>
      <c r="AK20" s="1">
        <f t="shared" si="31"/>
        <v>0</v>
      </c>
      <c r="AL20" s="1">
        <f t="shared" si="32"/>
        <v>0</v>
      </c>
      <c r="AM20" s="2"/>
      <c r="AN20" s="1"/>
      <c r="AO20" s="1"/>
      <c r="AP20" s="1">
        <f t="shared" si="36"/>
        <v>57</v>
      </c>
      <c r="AQ20" s="32">
        <f t="shared" si="33"/>
        <v>348</v>
      </c>
    </row>
    <row r="21" spans="2:43" hidden="1" x14ac:dyDescent="0.25">
      <c r="B21" s="10" t="s">
        <v>80</v>
      </c>
      <c r="C21" s="96">
        <v>19</v>
      </c>
      <c r="D21" s="10" t="s">
        <v>41</v>
      </c>
      <c r="E21" s="2">
        <v>20</v>
      </c>
      <c r="F21" s="1">
        <f t="shared" si="49"/>
        <v>20</v>
      </c>
      <c r="G21" s="1">
        <f t="shared" si="50"/>
        <v>20</v>
      </c>
      <c r="H21" s="1">
        <f t="shared" si="51"/>
        <v>20</v>
      </c>
      <c r="I21" s="1">
        <f t="shared" si="52"/>
        <v>20</v>
      </c>
      <c r="J21" s="2">
        <v>31</v>
      </c>
      <c r="K21" s="1">
        <f t="shared" si="16"/>
        <v>31</v>
      </c>
      <c r="L21" s="1">
        <f t="shared" si="17"/>
        <v>31</v>
      </c>
      <c r="M21" s="1">
        <f t="shared" si="18"/>
        <v>31</v>
      </c>
      <c r="N21" s="1">
        <f t="shared" si="19"/>
        <v>31</v>
      </c>
      <c r="O21" s="2">
        <v>42</v>
      </c>
      <c r="P21" s="1">
        <f t="shared" si="20"/>
        <v>42</v>
      </c>
      <c r="Q21" s="1">
        <f t="shared" si="21"/>
        <v>42</v>
      </c>
      <c r="R21" s="1">
        <f t="shared" si="22"/>
        <v>42</v>
      </c>
      <c r="S21" s="1">
        <f t="shared" si="23"/>
        <v>42</v>
      </c>
      <c r="T21" s="2">
        <v>41</v>
      </c>
      <c r="U21" s="1">
        <f t="shared" ref="U21:X21" si="56">T21*1</f>
        <v>41</v>
      </c>
      <c r="V21" s="1">
        <f t="shared" si="56"/>
        <v>41</v>
      </c>
      <c r="W21" s="1">
        <f t="shared" si="56"/>
        <v>41</v>
      </c>
      <c r="X21" s="1">
        <f t="shared" si="56"/>
        <v>41</v>
      </c>
      <c r="Y21" s="2">
        <v>36</v>
      </c>
      <c r="Z21" s="1">
        <f t="shared" si="25"/>
        <v>288</v>
      </c>
      <c r="AA21" s="2">
        <v>38</v>
      </c>
      <c r="AB21" s="1">
        <f t="shared" si="26"/>
        <v>304</v>
      </c>
      <c r="AC21" s="2">
        <v>31</v>
      </c>
      <c r="AD21" s="1">
        <f t="shared" si="27"/>
        <v>248</v>
      </c>
      <c r="AE21" s="2"/>
      <c r="AF21" s="1">
        <f t="shared" si="28"/>
        <v>0</v>
      </c>
      <c r="AG21" s="2"/>
      <c r="AH21" s="1">
        <f t="shared" si="29"/>
        <v>0</v>
      </c>
      <c r="AI21" s="1">
        <f t="shared" si="30"/>
        <v>0</v>
      </c>
      <c r="AJ21" s="2"/>
      <c r="AK21" s="1">
        <f t="shared" si="31"/>
        <v>0</v>
      </c>
      <c r="AL21" s="1">
        <f t="shared" si="32"/>
        <v>0</v>
      </c>
      <c r="AM21" s="2"/>
      <c r="AN21" s="1"/>
      <c r="AO21" s="1"/>
      <c r="AP21" s="1">
        <f t="shared" si="36"/>
        <v>239</v>
      </c>
      <c r="AQ21" s="32">
        <f t="shared" si="33"/>
        <v>1376</v>
      </c>
    </row>
    <row r="22" spans="2:43" hidden="1" x14ac:dyDescent="0.25">
      <c r="B22" s="10" t="s">
        <v>80</v>
      </c>
      <c r="C22" s="96">
        <v>20</v>
      </c>
      <c r="D22" s="10" t="s">
        <v>55</v>
      </c>
      <c r="E22" s="2"/>
      <c r="F22" s="1">
        <f t="shared" si="49"/>
        <v>0</v>
      </c>
      <c r="G22" s="1">
        <f t="shared" si="50"/>
        <v>0</v>
      </c>
      <c r="H22" s="1">
        <f t="shared" si="51"/>
        <v>0</v>
      </c>
      <c r="I22" s="1">
        <f t="shared" si="52"/>
        <v>0</v>
      </c>
      <c r="J22" s="2"/>
      <c r="K22" s="1">
        <f t="shared" si="16"/>
        <v>0</v>
      </c>
      <c r="L22" s="1">
        <f t="shared" si="17"/>
        <v>0</v>
      </c>
      <c r="M22" s="1">
        <f t="shared" si="18"/>
        <v>0</v>
      </c>
      <c r="N22" s="1">
        <f t="shared" si="19"/>
        <v>0</v>
      </c>
      <c r="O22" s="2"/>
      <c r="P22" s="1">
        <f t="shared" si="20"/>
        <v>0</v>
      </c>
      <c r="Q22" s="1">
        <f t="shared" si="21"/>
        <v>0</v>
      </c>
      <c r="R22" s="1">
        <f t="shared" si="22"/>
        <v>0</v>
      </c>
      <c r="S22" s="1">
        <f t="shared" si="23"/>
        <v>0</v>
      </c>
      <c r="T22" s="2"/>
      <c r="U22" s="1">
        <f t="shared" ref="U22:X22" si="57">T22*1</f>
        <v>0</v>
      </c>
      <c r="V22" s="1">
        <f t="shared" si="57"/>
        <v>0</v>
      </c>
      <c r="W22" s="1">
        <f t="shared" si="57"/>
        <v>0</v>
      </c>
      <c r="X22" s="1">
        <f t="shared" si="57"/>
        <v>0</v>
      </c>
      <c r="Y22" s="2"/>
      <c r="Z22" s="1">
        <f t="shared" si="25"/>
        <v>0</v>
      </c>
      <c r="AA22" s="2"/>
      <c r="AB22" s="1">
        <f t="shared" si="26"/>
        <v>0</v>
      </c>
      <c r="AC22" s="2"/>
      <c r="AD22" s="1">
        <f t="shared" si="27"/>
        <v>0</v>
      </c>
      <c r="AE22" s="2">
        <v>96</v>
      </c>
      <c r="AF22" s="1">
        <f t="shared" si="28"/>
        <v>768</v>
      </c>
      <c r="AG22" s="2">
        <v>110</v>
      </c>
      <c r="AH22" s="1">
        <f t="shared" si="29"/>
        <v>880</v>
      </c>
      <c r="AI22" s="1">
        <f t="shared" si="30"/>
        <v>440</v>
      </c>
      <c r="AJ22" s="2">
        <v>100</v>
      </c>
      <c r="AK22" s="1">
        <f t="shared" si="31"/>
        <v>800</v>
      </c>
      <c r="AL22" s="1">
        <f t="shared" si="32"/>
        <v>400</v>
      </c>
      <c r="AM22" s="2"/>
      <c r="AN22" s="1"/>
      <c r="AO22" s="1"/>
      <c r="AP22" s="1">
        <f t="shared" si="36"/>
        <v>306</v>
      </c>
      <c r="AQ22" s="32">
        <f t="shared" si="33"/>
        <v>3288</v>
      </c>
    </row>
    <row r="23" spans="2:43" hidden="1" x14ac:dyDescent="0.25">
      <c r="B23" s="10" t="s">
        <v>80</v>
      </c>
      <c r="C23" s="96">
        <v>21</v>
      </c>
      <c r="D23" s="10" t="s">
        <v>57</v>
      </c>
      <c r="E23" s="2"/>
      <c r="F23" s="1">
        <f t="shared" si="49"/>
        <v>0</v>
      </c>
      <c r="G23" s="1">
        <f t="shared" si="50"/>
        <v>0</v>
      </c>
      <c r="H23" s="1">
        <f t="shared" si="51"/>
        <v>0</v>
      </c>
      <c r="I23" s="1">
        <f t="shared" si="52"/>
        <v>0</v>
      </c>
      <c r="J23" s="2"/>
      <c r="K23" s="1">
        <f t="shared" si="16"/>
        <v>0</v>
      </c>
      <c r="L23" s="1">
        <f t="shared" si="17"/>
        <v>0</v>
      </c>
      <c r="M23" s="1">
        <f t="shared" si="18"/>
        <v>0</v>
      </c>
      <c r="N23" s="1">
        <f t="shared" si="19"/>
        <v>0</v>
      </c>
      <c r="O23" s="2"/>
      <c r="P23" s="1">
        <f t="shared" si="20"/>
        <v>0</v>
      </c>
      <c r="Q23" s="1">
        <f t="shared" si="21"/>
        <v>0</v>
      </c>
      <c r="R23" s="1">
        <f t="shared" si="22"/>
        <v>0</v>
      </c>
      <c r="S23" s="1">
        <f t="shared" si="23"/>
        <v>0</v>
      </c>
      <c r="T23" s="2"/>
      <c r="U23" s="1">
        <f t="shared" ref="U23:X23" si="58">T23*1</f>
        <v>0</v>
      </c>
      <c r="V23" s="1">
        <f t="shared" si="58"/>
        <v>0</v>
      </c>
      <c r="W23" s="1">
        <f t="shared" si="58"/>
        <v>0</v>
      </c>
      <c r="X23" s="1">
        <f t="shared" si="58"/>
        <v>0</v>
      </c>
      <c r="Y23" s="2"/>
      <c r="Z23" s="1">
        <f t="shared" si="25"/>
        <v>0</v>
      </c>
      <c r="AA23" s="2"/>
      <c r="AB23" s="1">
        <f t="shared" si="26"/>
        <v>0</v>
      </c>
      <c r="AC23" s="2"/>
      <c r="AD23" s="1">
        <f t="shared" si="27"/>
        <v>0</v>
      </c>
      <c r="AE23" s="2">
        <v>65</v>
      </c>
      <c r="AF23" s="1">
        <f t="shared" si="28"/>
        <v>520</v>
      </c>
      <c r="AG23" s="2">
        <v>60</v>
      </c>
      <c r="AH23" s="1">
        <f t="shared" si="29"/>
        <v>480</v>
      </c>
      <c r="AI23" s="1">
        <f t="shared" si="30"/>
        <v>240</v>
      </c>
      <c r="AJ23" s="2">
        <v>63</v>
      </c>
      <c r="AK23" s="1">
        <f t="shared" si="31"/>
        <v>504</v>
      </c>
      <c r="AL23" s="1">
        <f t="shared" si="32"/>
        <v>252</v>
      </c>
      <c r="AM23" s="2"/>
      <c r="AN23" s="1"/>
      <c r="AO23" s="1"/>
      <c r="AP23" s="1">
        <f t="shared" si="36"/>
        <v>188</v>
      </c>
      <c r="AQ23" s="32">
        <f t="shared" si="33"/>
        <v>1996</v>
      </c>
    </row>
    <row r="24" spans="2:43" hidden="1" x14ac:dyDescent="0.25">
      <c r="B24" s="10" t="s">
        <v>80</v>
      </c>
      <c r="C24" s="96">
        <v>22</v>
      </c>
      <c r="D24" s="10" t="s">
        <v>58</v>
      </c>
      <c r="E24" s="2">
        <v>7</v>
      </c>
      <c r="F24" s="1">
        <f t="shared" si="49"/>
        <v>7</v>
      </c>
      <c r="G24" s="1">
        <f t="shared" si="50"/>
        <v>7</v>
      </c>
      <c r="H24" s="1">
        <f t="shared" si="51"/>
        <v>7</v>
      </c>
      <c r="I24" s="1">
        <f t="shared" si="52"/>
        <v>7</v>
      </c>
      <c r="J24" s="2">
        <v>22</v>
      </c>
      <c r="K24" s="1">
        <f t="shared" si="16"/>
        <v>22</v>
      </c>
      <c r="L24" s="1">
        <f t="shared" si="17"/>
        <v>22</v>
      </c>
      <c r="M24" s="1">
        <f t="shared" si="18"/>
        <v>22</v>
      </c>
      <c r="N24" s="1">
        <f t="shared" si="19"/>
        <v>22</v>
      </c>
      <c r="O24" s="2">
        <v>17</v>
      </c>
      <c r="P24" s="1">
        <f t="shared" si="20"/>
        <v>17</v>
      </c>
      <c r="Q24" s="1">
        <f t="shared" si="21"/>
        <v>17</v>
      </c>
      <c r="R24" s="1">
        <f t="shared" si="22"/>
        <v>17</v>
      </c>
      <c r="S24" s="1">
        <f t="shared" si="23"/>
        <v>17</v>
      </c>
      <c r="T24" s="2">
        <v>16</v>
      </c>
      <c r="U24" s="1">
        <f t="shared" ref="U24:X24" si="59">T24*1</f>
        <v>16</v>
      </c>
      <c r="V24" s="1">
        <f t="shared" si="59"/>
        <v>16</v>
      </c>
      <c r="W24" s="1">
        <f t="shared" si="59"/>
        <v>16</v>
      </c>
      <c r="X24" s="1">
        <f t="shared" si="59"/>
        <v>16</v>
      </c>
      <c r="Y24" s="2">
        <v>24</v>
      </c>
      <c r="Z24" s="1">
        <f t="shared" si="25"/>
        <v>192</v>
      </c>
      <c r="AA24" s="2">
        <v>23</v>
      </c>
      <c r="AB24" s="1">
        <f t="shared" si="26"/>
        <v>184</v>
      </c>
      <c r="AC24" s="2">
        <v>24</v>
      </c>
      <c r="AD24" s="1">
        <f t="shared" si="27"/>
        <v>192</v>
      </c>
      <c r="AE24" s="2"/>
      <c r="AF24" s="1">
        <f t="shared" si="28"/>
        <v>0</v>
      </c>
      <c r="AG24" s="2"/>
      <c r="AH24" s="1">
        <f t="shared" si="29"/>
        <v>0</v>
      </c>
      <c r="AI24" s="1">
        <f t="shared" si="30"/>
        <v>0</v>
      </c>
      <c r="AJ24" s="2"/>
      <c r="AK24" s="1">
        <f t="shared" si="31"/>
        <v>0</v>
      </c>
      <c r="AL24" s="1">
        <f t="shared" si="32"/>
        <v>0</v>
      </c>
      <c r="AM24" s="2"/>
      <c r="AN24" s="1"/>
      <c r="AO24" s="1"/>
      <c r="AP24" s="1">
        <f t="shared" si="36"/>
        <v>133</v>
      </c>
      <c r="AQ24" s="32">
        <f t="shared" si="33"/>
        <v>816</v>
      </c>
    </row>
    <row r="25" spans="2:43" hidden="1" x14ac:dyDescent="0.25">
      <c r="B25" s="10" t="s">
        <v>80</v>
      </c>
      <c r="C25" s="96">
        <v>23</v>
      </c>
      <c r="D25" s="10" t="s">
        <v>59</v>
      </c>
      <c r="E25" s="2">
        <v>22</v>
      </c>
      <c r="F25" s="1">
        <f t="shared" si="49"/>
        <v>22</v>
      </c>
      <c r="G25" s="1">
        <f t="shared" si="50"/>
        <v>22</v>
      </c>
      <c r="H25" s="1">
        <f t="shared" si="51"/>
        <v>22</v>
      </c>
      <c r="I25" s="1">
        <f t="shared" si="52"/>
        <v>22</v>
      </c>
      <c r="J25" s="2">
        <v>18</v>
      </c>
      <c r="K25" s="1">
        <f t="shared" si="16"/>
        <v>18</v>
      </c>
      <c r="L25" s="1">
        <f t="shared" si="17"/>
        <v>18</v>
      </c>
      <c r="M25" s="1">
        <f t="shared" si="18"/>
        <v>18</v>
      </c>
      <c r="N25" s="1">
        <f t="shared" si="19"/>
        <v>18</v>
      </c>
      <c r="O25" s="2">
        <v>20</v>
      </c>
      <c r="P25" s="1">
        <f t="shared" si="20"/>
        <v>20</v>
      </c>
      <c r="Q25" s="1">
        <f t="shared" si="21"/>
        <v>20</v>
      </c>
      <c r="R25" s="1">
        <f t="shared" si="22"/>
        <v>20</v>
      </c>
      <c r="S25" s="1">
        <f t="shared" si="23"/>
        <v>20</v>
      </c>
      <c r="T25" s="2">
        <v>18</v>
      </c>
      <c r="U25" s="1">
        <f t="shared" ref="U25:X25" si="60">T25*1</f>
        <v>18</v>
      </c>
      <c r="V25" s="1">
        <f t="shared" si="60"/>
        <v>18</v>
      </c>
      <c r="W25" s="1">
        <f t="shared" si="60"/>
        <v>18</v>
      </c>
      <c r="X25" s="1">
        <f t="shared" si="60"/>
        <v>18</v>
      </c>
      <c r="Y25" s="2">
        <v>21</v>
      </c>
      <c r="Z25" s="1">
        <f t="shared" si="25"/>
        <v>168</v>
      </c>
      <c r="AA25" s="2">
        <v>22</v>
      </c>
      <c r="AB25" s="1">
        <f t="shared" si="26"/>
        <v>176</v>
      </c>
      <c r="AC25" s="2">
        <v>18</v>
      </c>
      <c r="AD25" s="1">
        <f t="shared" si="27"/>
        <v>144</v>
      </c>
      <c r="AE25" s="2"/>
      <c r="AF25" s="1">
        <f t="shared" si="28"/>
        <v>0</v>
      </c>
      <c r="AG25" s="2"/>
      <c r="AH25" s="1">
        <f t="shared" si="29"/>
        <v>0</v>
      </c>
      <c r="AI25" s="1">
        <f t="shared" si="30"/>
        <v>0</v>
      </c>
      <c r="AJ25" s="2"/>
      <c r="AK25" s="1">
        <f t="shared" si="31"/>
        <v>0</v>
      </c>
      <c r="AL25" s="1">
        <f t="shared" si="32"/>
        <v>0</v>
      </c>
      <c r="AM25" s="2"/>
      <c r="AN25" s="1"/>
      <c r="AO25" s="1"/>
      <c r="AP25" s="1">
        <f t="shared" si="36"/>
        <v>139</v>
      </c>
      <c r="AQ25" s="32">
        <f t="shared" si="33"/>
        <v>800</v>
      </c>
    </row>
    <row r="26" spans="2:43" hidden="1" x14ac:dyDescent="0.25">
      <c r="B26" s="10" t="s">
        <v>80</v>
      </c>
      <c r="C26" s="96">
        <v>24</v>
      </c>
      <c r="D26" s="10" t="s">
        <v>60</v>
      </c>
      <c r="E26" s="2">
        <v>7</v>
      </c>
      <c r="F26" s="1">
        <f t="shared" si="49"/>
        <v>7</v>
      </c>
      <c r="G26" s="1">
        <f t="shared" si="50"/>
        <v>7</v>
      </c>
      <c r="H26" s="1">
        <f t="shared" si="51"/>
        <v>7</v>
      </c>
      <c r="I26" s="1">
        <f t="shared" si="52"/>
        <v>7</v>
      </c>
      <c r="J26" s="2">
        <v>7</v>
      </c>
      <c r="K26" s="1">
        <f t="shared" ref="K26:K55" si="61">J26*1</f>
        <v>7</v>
      </c>
      <c r="L26" s="1">
        <f t="shared" ref="L26:L55" si="62">J26*1</f>
        <v>7</v>
      </c>
      <c r="M26" s="1">
        <f t="shared" ref="M26:M55" si="63">J26*1</f>
        <v>7</v>
      </c>
      <c r="N26" s="1">
        <f t="shared" ref="N26:N55" si="64">J26*1</f>
        <v>7</v>
      </c>
      <c r="O26" s="2">
        <v>13</v>
      </c>
      <c r="P26" s="1">
        <f t="shared" si="20"/>
        <v>13</v>
      </c>
      <c r="Q26" s="1">
        <f t="shared" si="21"/>
        <v>13</v>
      </c>
      <c r="R26" s="1">
        <f t="shared" si="22"/>
        <v>13</v>
      </c>
      <c r="S26" s="1">
        <f t="shared" si="23"/>
        <v>13</v>
      </c>
      <c r="T26" s="2">
        <v>10</v>
      </c>
      <c r="U26" s="1">
        <f t="shared" ref="U26:X26" si="65">T26*1</f>
        <v>10</v>
      </c>
      <c r="V26" s="1">
        <f t="shared" si="65"/>
        <v>10</v>
      </c>
      <c r="W26" s="1">
        <f t="shared" si="65"/>
        <v>10</v>
      </c>
      <c r="X26" s="1">
        <f t="shared" si="65"/>
        <v>10</v>
      </c>
      <c r="Y26" s="2">
        <v>18</v>
      </c>
      <c r="Z26" s="1">
        <f t="shared" si="25"/>
        <v>144</v>
      </c>
      <c r="AA26" s="2">
        <v>21</v>
      </c>
      <c r="AB26" s="1">
        <f t="shared" si="26"/>
        <v>168</v>
      </c>
      <c r="AC26" s="2">
        <v>20</v>
      </c>
      <c r="AD26" s="1">
        <f t="shared" si="27"/>
        <v>160</v>
      </c>
      <c r="AE26" s="2"/>
      <c r="AF26" s="1">
        <f t="shared" si="28"/>
        <v>0</v>
      </c>
      <c r="AG26" s="2"/>
      <c r="AH26" s="1">
        <f t="shared" si="29"/>
        <v>0</v>
      </c>
      <c r="AI26" s="1">
        <f t="shared" si="30"/>
        <v>0</v>
      </c>
      <c r="AJ26" s="2"/>
      <c r="AK26" s="1">
        <f t="shared" si="31"/>
        <v>0</v>
      </c>
      <c r="AL26" s="1">
        <f t="shared" si="32"/>
        <v>0</v>
      </c>
      <c r="AM26" s="2"/>
      <c r="AN26" s="1"/>
      <c r="AO26" s="1"/>
      <c r="AP26" s="1">
        <f t="shared" si="36"/>
        <v>96</v>
      </c>
      <c r="AQ26" s="32">
        <f t="shared" si="33"/>
        <v>620</v>
      </c>
    </row>
    <row r="27" spans="2:43" hidden="1" x14ac:dyDescent="0.25">
      <c r="B27" s="10" t="s">
        <v>80</v>
      </c>
      <c r="C27" s="96">
        <v>25</v>
      </c>
      <c r="D27" s="10" t="s">
        <v>150</v>
      </c>
      <c r="E27" s="2">
        <v>6</v>
      </c>
      <c r="F27" s="1">
        <f t="shared" si="49"/>
        <v>6</v>
      </c>
      <c r="G27" s="1">
        <f t="shared" si="50"/>
        <v>6</v>
      </c>
      <c r="H27" s="1">
        <f t="shared" si="51"/>
        <v>6</v>
      </c>
      <c r="I27" s="1">
        <f t="shared" si="52"/>
        <v>6</v>
      </c>
      <c r="J27" s="2">
        <v>17</v>
      </c>
      <c r="K27" s="1">
        <f t="shared" si="61"/>
        <v>17</v>
      </c>
      <c r="L27" s="1">
        <f t="shared" si="62"/>
        <v>17</v>
      </c>
      <c r="M27" s="1">
        <f t="shared" si="63"/>
        <v>17</v>
      </c>
      <c r="N27" s="1">
        <f t="shared" si="64"/>
        <v>17</v>
      </c>
      <c r="O27" s="2">
        <v>28</v>
      </c>
      <c r="P27" s="1">
        <f t="shared" si="20"/>
        <v>28</v>
      </c>
      <c r="Q27" s="1">
        <f t="shared" si="21"/>
        <v>28</v>
      </c>
      <c r="R27" s="1">
        <f t="shared" si="22"/>
        <v>28</v>
      </c>
      <c r="S27" s="1">
        <f t="shared" si="23"/>
        <v>28</v>
      </c>
      <c r="T27" s="2">
        <v>19</v>
      </c>
      <c r="U27" s="1">
        <f t="shared" ref="U27:X27" si="66">T27*1</f>
        <v>19</v>
      </c>
      <c r="V27" s="1">
        <f t="shared" si="66"/>
        <v>19</v>
      </c>
      <c r="W27" s="1">
        <f t="shared" si="66"/>
        <v>19</v>
      </c>
      <c r="X27" s="1">
        <f t="shared" si="66"/>
        <v>19</v>
      </c>
      <c r="Y27" s="2">
        <v>24</v>
      </c>
      <c r="Z27" s="1">
        <f t="shared" si="25"/>
        <v>192</v>
      </c>
      <c r="AA27" s="2">
        <v>30</v>
      </c>
      <c r="AB27" s="1">
        <f t="shared" si="26"/>
        <v>240</v>
      </c>
      <c r="AC27" s="2">
        <v>30</v>
      </c>
      <c r="AD27" s="1">
        <f t="shared" si="27"/>
        <v>240</v>
      </c>
      <c r="AE27" s="2"/>
      <c r="AF27" s="1">
        <f t="shared" si="28"/>
        <v>0</v>
      </c>
      <c r="AG27" s="2"/>
      <c r="AH27" s="1">
        <f t="shared" si="29"/>
        <v>0</v>
      </c>
      <c r="AI27" s="1">
        <f t="shared" si="30"/>
        <v>0</v>
      </c>
      <c r="AJ27" s="2"/>
      <c r="AK27" s="1">
        <f t="shared" si="31"/>
        <v>0</v>
      </c>
      <c r="AL27" s="1">
        <f t="shared" si="32"/>
        <v>0</v>
      </c>
      <c r="AM27" s="2"/>
      <c r="AN27" s="1"/>
      <c r="AO27" s="1"/>
      <c r="AP27" s="1">
        <f t="shared" si="36"/>
        <v>154</v>
      </c>
      <c r="AQ27" s="32">
        <f t="shared" si="33"/>
        <v>952</v>
      </c>
    </row>
    <row r="28" spans="2:43" hidden="1" x14ac:dyDescent="0.25">
      <c r="B28" s="10" t="s">
        <v>80</v>
      </c>
      <c r="C28" s="96">
        <v>26</v>
      </c>
      <c r="D28" s="10" t="s">
        <v>61</v>
      </c>
      <c r="E28" s="2">
        <v>11</v>
      </c>
      <c r="F28" s="1">
        <f t="shared" si="49"/>
        <v>11</v>
      </c>
      <c r="G28" s="1">
        <f t="shared" si="50"/>
        <v>11</v>
      </c>
      <c r="H28" s="1">
        <f t="shared" si="51"/>
        <v>11</v>
      </c>
      <c r="I28" s="1">
        <f t="shared" si="52"/>
        <v>11</v>
      </c>
      <c r="J28" s="2">
        <v>12</v>
      </c>
      <c r="K28" s="1">
        <f t="shared" si="61"/>
        <v>12</v>
      </c>
      <c r="L28" s="1">
        <f t="shared" si="62"/>
        <v>12</v>
      </c>
      <c r="M28" s="1">
        <f t="shared" si="63"/>
        <v>12</v>
      </c>
      <c r="N28" s="1">
        <f t="shared" si="64"/>
        <v>12</v>
      </c>
      <c r="O28" s="2">
        <v>11</v>
      </c>
      <c r="P28" s="1">
        <f t="shared" si="20"/>
        <v>11</v>
      </c>
      <c r="Q28" s="1">
        <f t="shared" si="21"/>
        <v>11</v>
      </c>
      <c r="R28" s="1">
        <f t="shared" si="22"/>
        <v>11</v>
      </c>
      <c r="S28" s="1">
        <f t="shared" si="23"/>
        <v>11</v>
      </c>
      <c r="T28" s="2">
        <v>11</v>
      </c>
      <c r="U28" s="1">
        <f t="shared" ref="U28:X28" si="67">T28*1</f>
        <v>11</v>
      </c>
      <c r="V28" s="1">
        <f t="shared" si="67"/>
        <v>11</v>
      </c>
      <c r="W28" s="1">
        <f t="shared" si="67"/>
        <v>11</v>
      </c>
      <c r="X28" s="1">
        <f t="shared" si="67"/>
        <v>11</v>
      </c>
      <c r="Y28" s="2">
        <v>11</v>
      </c>
      <c r="Z28" s="1">
        <f t="shared" si="25"/>
        <v>88</v>
      </c>
      <c r="AA28" s="2">
        <v>15</v>
      </c>
      <c r="AB28" s="1">
        <f t="shared" si="26"/>
        <v>120</v>
      </c>
      <c r="AC28" s="2">
        <v>18</v>
      </c>
      <c r="AD28" s="1">
        <f t="shared" si="27"/>
        <v>144</v>
      </c>
      <c r="AE28" s="2"/>
      <c r="AF28" s="1">
        <f t="shared" si="28"/>
        <v>0</v>
      </c>
      <c r="AG28" s="2"/>
      <c r="AH28" s="1">
        <f t="shared" si="29"/>
        <v>0</v>
      </c>
      <c r="AI28" s="1">
        <f t="shared" si="30"/>
        <v>0</v>
      </c>
      <c r="AJ28" s="2"/>
      <c r="AK28" s="1">
        <f t="shared" si="31"/>
        <v>0</v>
      </c>
      <c r="AL28" s="1">
        <f t="shared" si="32"/>
        <v>0</v>
      </c>
      <c r="AM28" s="2"/>
      <c r="AN28" s="1"/>
      <c r="AO28" s="1"/>
      <c r="AP28" s="1">
        <f t="shared" si="36"/>
        <v>89</v>
      </c>
      <c r="AQ28" s="32">
        <f t="shared" si="33"/>
        <v>532</v>
      </c>
    </row>
    <row r="29" spans="2:43" hidden="1" x14ac:dyDescent="0.25">
      <c r="B29" s="10" t="s">
        <v>80</v>
      </c>
      <c r="C29" s="96">
        <v>27</v>
      </c>
      <c r="D29" s="10" t="s">
        <v>62</v>
      </c>
      <c r="E29" s="2">
        <v>24</v>
      </c>
      <c r="F29" s="1">
        <f t="shared" si="49"/>
        <v>24</v>
      </c>
      <c r="G29" s="1">
        <f t="shared" si="50"/>
        <v>24</v>
      </c>
      <c r="H29" s="1">
        <f t="shared" si="51"/>
        <v>24</v>
      </c>
      <c r="I29" s="1">
        <f t="shared" si="52"/>
        <v>24</v>
      </c>
      <c r="J29" s="2">
        <v>22</v>
      </c>
      <c r="K29" s="1">
        <f t="shared" si="61"/>
        <v>22</v>
      </c>
      <c r="L29" s="1">
        <f t="shared" si="62"/>
        <v>22</v>
      </c>
      <c r="M29" s="1">
        <f t="shared" si="63"/>
        <v>22</v>
      </c>
      <c r="N29" s="1">
        <f t="shared" si="64"/>
        <v>22</v>
      </c>
      <c r="O29" s="2">
        <v>23</v>
      </c>
      <c r="P29" s="1">
        <f t="shared" si="20"/>
        <v>23</v>
      </c>
      <c r="Q29" s="1">
        <f t="shared" si="21"/>
        <v>23</v>
      </c>
      <c r="R29" s="1">
        <f t="shared" si="22"/>
        <v>23</v>
      </c>
      <c r="S29" s="1">
        <f t="shared" si="23"/>
        <v>23</v>
      </c>
      <c r="T29" s="2">
        <v>19</v>
      </c>
      <c r="U29" s="1">
        <f t="shared" ref="U29:X29" si="68">T29*1</f>
        <v>19</v>
      </c>
      <c r="V29" s="1">
        <f t="shared" si="68"/>
        <v>19</v>
      </c>
      <c r="W29" s="1">
        <f t="shared" si="68"/>
        <v>19</v>
      </c>
      <c r="X29" s="1">
        <f t="shared" si="68"/>
        <v>19</v>
      </c>
      <c r="Y29" s="2">
        <v>24</v>
      </c>
      <c r="Z29" s="1">
        <f t="shared" si="25"/>
        <v>192</v>
      </c>
      <c r="AA29" s="2">
        <v>26</v>
      </c>
      <c r="AB29" s="1">
        <f t="shared" si="26"/>
        <v>208</v>
      </c>
      <c r="AC29" s="2">
        <v>24</v>
      </c>
      <c r="AD29" s="1">
        <f t="shared" si="27"/>
        <v>192</v>
      </c>
      <c r="AE29" s="2"/>
      <c r="AF29" s="1">
        <f t="shared" si="28"/>
        <v>0</v>
      </c>
      <c r="AG29" s="2"/>
      <c r="AH29" s="1">
        <f t="shared" si="29"/>
        <v>0</v>
      </c>
      <c r="AI29" s="1">
        <f t="shared" si="30"/>
        <v>0</v>
      </c>
      <c r="AJ29" s="2"/>
      <c r="AK29" s="1">
        <f t="shared" si="31"/>
        <v>0</v>
      </c>
      <c r="AL29" s="1">
        <f t="shared" si="32"/>
        <v>0</v>
      </c>
      <c r="AM29" s="2"/>
      <c r="AN29" s="1"/>
      <c r="AO29" s="1"/>
      <c r="AP29" s="1">
        <f t="shared" si="36"/>
        <v>162</v>
      </c>
      <c r="AQ29" s="32">
        <f t="shared" si="33"/>
        <v>944</v>
      </c>
    </row>
    <row r="30" spans="2:43" hidden="1" x14ac:dyDescent="0.25">
      <c r="B30" s="10" t="s">
        <v>80</v>
      </c>
      <c r="C30" s="96">
        <v>28</v>
      </c>
      <c r="D30" s="10" t="s">
        <v>54</v>
      </c>
      <c r="E30" s="2">
        <v>4</v>
      </c>
      <c r="F30" s="1">
        <f t="shared" si="49"/>
        <v>4</v>
      </c>
      <c r="G30" s="1">
        <f t="shared" si="50"/>
        <v>4</v>
      </c>
      <c r="H30" s="1">
        <f t="shared" si="51"/>
        <v>4</v>
      </c>
      <c r="I30" s="1">
        <f t="shared" si="52"/>
        <v>4</v>
      </c>
      <c r="J30" s="2">
        <v>11</v>
      </c>
      <c r="K30" s="1">
        <f t="shared" si="61"/>
        <v>11</v>
      </c>
      <c r="L30" s="1">
        <f t="shared" si="62"/>
        <v>11</v>
      </c>
      <c r="M30" s="1">
        <f t="shared" si="63"/>
        <v>11</v>
      </c>
      <c r="N30" s="1">
        <f t="shared" si="64"/>
        <v>11</v>
      </c>
      <c r="O30" s="2">
        <v>9</v>
      </c>
      <c r="P30" s="1">
        <f t="shared" si="20"/>
        <v>9</v>
      </c>
      <c r="Q30" s="1">
        <f t="shared" si="21"/>
        <v>9</v>
      </c>
      <c r="R30" s="1">
        <f t="shared" si="22"/>
        <v>9</v>
      </c>
      <c r="S30" s="1">
        <f t="shared" si="23"/>
        <v>9</v>
      </c>
      <c r="T30" s="2">
        <v>19</v>
      </c>
      <c r="U30" s="1">
        <f t="shared" ref="U30:X30" si="69">T30*1</f>
        <v>19</v>
      </c>
      <c r="V30" s="1">
        <f t="shared" si="69"/>
        <v>19</v>
      </c>
      <c r="W30" s="1">
        <f t="shared" si="69"/>
        <v>19</v>
      </c>
      <c r="X30" s="1">
        <f t="shared" si="69"/>
        <v>19</v>
      </c>
      <c r="Y30" s="2">
        <v>18</v>
      </c>
      <c r="Z30" s="1">
        <f t="shared" si="25"/>
        <v>144</v>
      </c>
      <c r="AA30" s="2">
        <v>20</v>
      </c>
      <c r="AB30" s="1">
        <f t="shared" si="26"/>
        <v>160</v>
      </c>
      <c r="AC30" s="2">
        <v>13</v>
      </c>
      <c r="AD30" s="1">
        <f t="shared" si="27"/>
        <v>104</v>
      </c>
      <c r="AE30" s="2"/>
      <c r="AF30" s="1">
        <f t="shared" si="28"/>
        <v>0</v>
      </c>
      <c r="AG30" s="2"/>
      <c r="AH30" s="1">
        <f t="shared" si="29"/>
        <v>0</v>
      </c>
      <c r="AI30" s="1">
        <f t="shared" si="30"/>
        <v>0</v>
      </c>
      <c r="AJ30" s="2"/>
      <c r="AK30" s="1">
        <f t="shared" si="31"/>
        <v>0</v>
      </c>
      <c r="AL30" s="1">
        <f t="shared" si="32"/>
        <v>0</v>
      </c>
      <c r="AM30" s="2"/>
      <c r="AN30" s="1"/>
      <c r="AO30" s="1"/>
      <c r="AP30" s="1">
        <f t="shared" si="36"/>
        <v>94</v>
      </c>
      <c r="AQ30" s="32">
        <f t="shared" si="33"/>
        <v>580</v>
      </c>
    </row>
    <row r="31" spans="2:43" hidden="1" x14ac:dyDescent="0.25">
      <c r="B31" s="10" t="s">
        <v>80</v>
      </c>
      <c r="C31" s="96">
        <v>29</v>
      </c>
      <c r="D31" s="10" t="s">
        <v>63</v>
      </c>
      <c r="E31" s="2">
        <v>12</v>
      </c>
      <c r="F31" s="1">
        <f t="shared" si="49"/>
        <v>12</v>
      </c>
      <c r="G31" s="1">
        <f t="shared" si="50"/>
        <v>12</v>
      </c>
      <c r="H31" s="1">
        <f t="shared" si="51"/>
        <v>12</v>
      </c>
      <c r="I31" s="1">
        <f t="shared" si="52"/>
        <v>12</v>
      </c>
      <c r="J31" s="2">
        <v>26</v>
      </c>
      <c r="K31" s="1">
        <f t="shared" si="61"/>
        <v>26</v>
      </c>
      <c r="L31" s="1">
        <f t="shared" si="62"/>
        <v>26</v>
      </c>
      <c r="M31" s="1">
        <f t="shared" si="63"/>
        <v>26</v>
      </c>
      <c r="N31" s="1">
        <f t="shared" si="64"/>
        <v>26</v>
      </c>
      <c r="O31" s="2">
        <v>20</v>
      </c>
      <c r="P31" s="1">
        <f t="shared" si="20"/>
        <v>20</v>
      </c>
      <c r="Q31" s="1">
        <f t="shared" si="21"/>
        <v>20</v>
      </c>
      <c r="R31" s="1">
        <f t="shared" si="22"/>
        <v>20</v>
      </c>
      <c r="S31" s="1">
        <f t="shared" si="23"/>
        <v>20</v>
      </c>
      <c r="T31" s="2">
        <v>27</v>
      </c>
      <c r="U31" s="1">
        <f t="shared" ref="U31:X31" si="70">T31*1</f>
        <v>27</v>
      </c>
      <c r="V31" s="1">
        <f t="shared" si="70"/>
        <v>27</v>
      </c>
      <c r="W31" s="1">
        <f t="shared" si="70"/>
        <v>27</v>
      </c>
      <c r="X31" s="1">
        <f t="shared" si="70"/>
        <v>27</v>
      </c>
      <c r="Y31" s="2">
        <v>17</v>
      </c>
      <c r="Z31" s="1">
        <f t="shared" si="25"/>
        <v>136</v>
      </c>
      <c r="AA31" s="2">
        <v>21</v>
      </c>
      <c r="AB31" s="1">
        <f t="shared" si="26"/>
        <v>168</v>
      </c>
      <c r="AC31" s="2">
        <v>29</v>
      </c>
      <c r="AD31" s="1">
        <f t="shared" si="27"/>
        <v>232</v>
      </c>
      <c r="AE31" s="2"/>
      <c r="AF31" s="1">
        <f t="shared" si="28"/>
        <v>0</v>
      </c>
      <c r="AG31" s="2"/>
      <c r="AH31" s="1">
        <f t="shared" si="29"/>
        <v>0</v>
      </c>
      <c r="AI31" s="1">
        <f t="shared" si="30"/>
        <v>0</v>
      </c>
      <c r="AJ31" s="2"/>
      <c r="AK31" s="1">
        <f t="shared" si="31"/>
        <v>0</v>
      </c>
      <c r="AL31" s="1">
        <f t="shared" si="32"/>
        <v>0</v>
      </c>
      <c r="AM31" s="2"/>
      <c r="AN31" s="1"/>
      <c r="AO31" s="1"/>
      <c r="AP31" s="1">
        <f t="shared" si="36"/>
        <v>152</v>
      </c>
      <c r="AQ31" s="32">
        <f t="shared" si="33"/>
        <v>876</v>
      </c>
    </row>
    <row r="32" spans="2:43" x14ac:dyDescent="0.25">
      <c r="B32" s="10" t="s">
        <v>71</v>
      </c>
      <c r="C32" s="96">
        <v>30</v>
      </c>
      <c r="D32" s="64" t="s">
        <v>74</v>
      </c>
      <c r="E32" s="2">
        <v>28</v>
      </c>
      <c r="F32" s="1">
        <f t="shared" si="49"/>
        <v>28</v>
      </c>
      <c r="G32" s="1">
        <f t="shared" si="50"/>
        <v>28</v>
      </c>
      <c r="H32" s="1">
        <f t="shared" si="51"/>
        <v>28</v>
      </c>
      <c r="I32" s="1">
        <f t="shared" si="52"/>
        <v>28</v>
      </c>
      <c r="J32" s="2">
        <v>43</v>
      </c>
      <c r="K32" s="1">
        <f t="shared" si="61"/>
        <v>43</v>
      </c>
      <c r="L32" s="1">
        <f t="shared" si="62"/>
        <v>43</v>
      </c>
      <c r="M32" s="1">
        <f t="shared" si="63"/>
        <v>43</v>
      </c>
      <c r="N32" s="1">
        <f t="shared" si="64"/>
        <v>43</v>
      </c>
      <c r="O32" s="2">
        <v>88</v>
      </c>
      <c r="P32" s="1">
        <f t="shared" si="20"/>
        <v>88</v>
      </c>
      <c r="Q32" s="1">
        <f t="shared" si="21"/>
        <v>88</v>
      </c>
      <c r="R32" s="1">
        <f t="shared" si="22"/>
        <v>88</v>
      </c>
      <c r="S32" s="1">
        <f t="shared" si="23"/>
        <v>88</v>
      </c>
      <c r="T32" s="2">
        <v>47</v>
      </c>
      <c r="U32" s="1">
        <f t="shared" ref="U32:X32" si="71">T32*1</f>
        <v>47</v>
      </c>
      <c r="V32" s="1">
        <f t="shared" si="71"/>
        <v>47</v>
      </c>
      <c r="W32" s="1">
        <f t="shared" si="71"/>
        <v>47</v>
      </c>
      <c r="X32" s="1">
        <f t="shared" si="71"/>
        <v>47</v>
      </c>
      <c r="Y32" s="2">
        <v>35</v>
      </c>
      <c r="Z32" s="1">
        <f t="shared" si="25"/>
        <v>280</v>
      </c>
      <c r="AA32" s="2">
        <v>55</v>
      </c>
      <c r="AB32" s="1">
        <f t="shared" si="26"/>
        <v>440</v>
      </c>
      <c r="AC32" s="2">
        <v>50</v>
      </c>
      <c r="AD32" s="1">
        <f t="shared" si="27"/>
        <v>400</v>
      </c>
      <c r="AE32" s="2"/>
      <c r="AF32" s="1">
        <f t="shared" si="28"/>
        <v>0</v>
      </c>
      <c r="AG32" s="2"/>
      <c r="AH32" s="1">
        <f t="shared" si="29"/>
        <v>0</v>
      </c>
      <c r="AI32" s="1">
        <f t="shared" si="30"/>
        <v>0</v>
      </c>
      <c r="AJ32" s="2"/>
      <c r="AK32" s="1">
        <f t="shared" si="31"/>
        <v>0</v>
      </c>
      <c r="AL32" s="1">
        <f t="shared" si="32"/>
        <v>0</v>
      </c>
      <c r="AM32" s="2"/>
      <c r="AN32" s="1"/>
      <c r="AO32" s="1"/>
      <c r="AP32" s="1">
        <f t="shared" si="36"/>
        <v>346</v>
      </c>
      <c r="AQ32" s="32">
        <f t="shared" si="33"/>
        <v>1944</v>
      </c>
    </row>
    <row r="33" spans="2:44" x14ac:dyDescent="0.25">
      <c r="B33" s="10" t="s">
        <v>71</v>
      </c>
      <c r="C33" s="96">
        <v>31</v>
      </c>
      <c r="D33" s="64" t="s">
        <v>75</v>
      </c>
      <c r="E33" s="2"/>
      <c r="F33" s="1">
        <f t="shared" si="49"/>
        <v>0</v>
      </c>
      <c r="G33" s="1">
        <f t="shared" si="50"/>
        <v>0</v>
      </c>
      <c r="H33" s="1">
        <f t="shared" si="51"/>
        <v>0</v>
      </c>
      <c r="I33" s="1">
        <f t="shared" si="52"/>
        <v>0</v>
      </c>
      <c r="J33" s="2"/>
      <c r="K33" s="1">
        <f t="shared" si="61"/>
        <v>0</v>
      </c>
      <c r="L33" s="1">
        <f t="shared" si="62"/>
        <v>0</v>
      </c>
      <c r="M33" s="1">
        <f t="shared" si="63"/>
        <v>0</v>
      </c>
      <c r="N33" s="1">
        <f t="shared" si="64"/>
        <v>0</v>
      </c>
      <c r="O33" s="2"/>
      <c r="P33" s="1">
        <f t="shared" si="20"/>
        <v>0</v>
      </c>
      <c r="Q33" s="1">
        <f t="shared" si="21"/>
        <v>0</v>
      </c>
      <c r="R33" s="1">
        <f t="shared" si="22"/>
        <v>0</v>
      </c>
      <c r="S33" s="1">
        <f t="shared" si="23"/>
        <v>0</v>
      </c>
      <c r="T33" s="2"/>
      <c r="U33" s="1">
        <f t="shared" ref="U33:X33" si="72">T33*1</f>
        <v>0</v>
      </c>
      <c r="V33" s="1">
        <f t="shared" si="72"/>
        <v>0</v>
      </c>
      <c r="W33" s="1">
        <f t="shared" si="72"/>
        <v>0</v>
      </c>
      <c r="X33" s="1">
        <f t="shared" si="72"/>
        <v>0</v>
      </c>
      <c r="Y33" s="2"/>
      <c r="Z33" s="1">
        <f t="shared" si="25"/>
        <v>0</v>
      </c>
      <c r="AA33" s="2"/>
      <c r="AB33" s="1">
        <f t="shared" si="26"/>
        <v>0</v>
      </c>
      <c r="AC33" s="2"/>
      <c r="AD33" s="1">
        <f t="shared" si="27"/>
        <v>0</v>
      </c>
      <c r="AE33" s="2">
        <v>47</v>
      </c>
      <c r="AF33" s="1">
        <f t="shared" si="28"/>
        <v>376</v>
      </c>
      <c r="AG33" s="2">
        <v>96</v>
      </c>
      <c r="AH33" s="1">
        <f t="shared" si="29"/>
        <v>768</v>
      </c>
      <c r="AI33" s="1">
        <f t="shared" si="30"/>
        <v>384</v>
      </c>
      <c r="AJ33" s="2">
        <v>76</v>
      </c>
      <c r="AK33" s="1">
        <f t="shared" si="31"/>
        <v>608</v>
      </c>
      <c r="AL33" s="1">
        <f t="shared" si="32"/>
        <v>304</v>
      </c>
      <c r="AM33" s="2"/>
      <c r="AN33" s="1"/>
      <c r="AO33" s="1"/>
      <c r="AP33" s="1">
        <f t="shared" si="36"/>
        <v>219</v>
      </c>
      <c r="AQ33" s="32">
        <f t="shared" si="33"/>
        <v>2440</v>
      </c>
    </row>
    <row r="34" spans="2:44" x14ac:dyDescent="0.25">
      <c r="B34" s="10" t="s">
        <v>71</v>
      </c>
      <c r="C34" s="96">
        <v>32</v>
      </c>
      <c r="D34" s="64" t="s">
        <v>66</v>
      </c>
      <c r="E34" s="2">
        <v>12</v>
      </c>
      <c r="F34" s="1">
        <f t="shared" si="49"/>
        <v>12</v>
      </c>
      <c r="G34" s="1">
        <f t="shared" si="50"/>
        <v>12</v>
      </c>
      <c r="H34" s="1">
        <f t="shared" si="51"/>
        <v>12</v>
      </c>
      <c r="I34" s="1">
        <f t="shared" si="52"/>
        <v>12</v>
      </c>
      <c r="J34" s="2">
        <v>15</v>
      </c>
      <c r="K34" s="1">
        <f t="shared" si="61"/>
        <v>15</v>
      </c>
      <c r="L34" s="1">
        <f t="shared" si="62"/>
        <v>15</v>
      </c>
      <c r="M34" s="1">
        <f t="shared" si="63"/>
        <v>15</v>
      </c>
      <c r="N34" s="1">
        <f t="shared" si="64"/>
        <v>15</v>
      </c>
      <c r="O34" s="2">
        <v>21</v>
      </c>
      <c r="P34" s="1">
        <f t="shared" si="20"/>
        <v>21</v>
      </c>
      <c r="Q34" s="1">
        <f t="shared" si="21"/>
        <v>21</v>
      </c>
      <c r="R34" s="1">
        <f t="shared" si="22"/>
        <v>21</v>
      </c>
      <c r="S34" s="1">
        <f t="shared" si="23"/>
        <v>21</v>
      </c>
      <c r="T34" s="2">
        <v>19</v>
      </c>
      <c r="U34" s="1">
        <f t="shared" ref="U34:X34" si="73">T34*1</f>
        <v>19</v>
      </c>
      <c r="V34" s="1">
        <f t="shared" si="73"/>
        <v>19</v>
      </c>
      <c r="W34" s="1">
        <f t="shared" si="73"/>
        <v>19</v>
      </c>
      <c r="X34" s="1">
        <f t="shared" si="73"/>
        <v>19</v>
      </c>
      <c r="Y34" s="2">
        <v>18</v>
      </c>
      <c r="Z34" s="1">
        <f t="shared" si="25"/>
        <v>144</v>
      </c>
      <c r="AA34" s="2">
        <v>46</v>
      </c>
      <c r="AB34" s="1">
        <f t="shared" si="26"/>
        <v>368</v>
      </c>
      <c r="AC34" s="2">
        <v>41</v>
      </c>
      <c r="AD34" s="1">
        <f t="shared" si="27"/>
        <v>328</v>
      </c>
      <c r="AE34" s="2"/>
      <c r="AF34" s="1">
        <f t="shared" si="28"/>
        <v>0</v>
      </c>
      <c r="AG34" s="2"/>
      <c r="AH34" s="1">
        <f t="shared" si="29"/>
        <v>0</v>
      </c>
      <c r="AI34" s="1">
        <f t="shared" si="30"/>
        <v>0</v>
      </c>
      <c r="AJ34" s="2"/>
      <c r="AK34" s="1">
        <f t="shared" si="31"/>
        <v>0</v>
      </c>
      <c r="AL34" s="1">
        <f t="shared" si="32"/>
        <v>0</v>
      </c>
      <c r="AM34" s="2"/>
      <c r="AN34" s="1"/>
      <c r="AO34" s="1"/>
      <c r="AP34" s="1">
        <f t="shared" si="36"/>
        <v>172</v>
      </c>
      <c r="AQ34" s="32">
        <f t="shared" si="33"/>
        <v>1108</v>
      </c>
    </row>
    <row r="35" spans="2:44" x14ac:dyDescent="0.25">
      <c r="B35" s="10" t="s">
        <v>71</v>
      </c>
      <c r="C35" s="96">
        <v>33</v>
      </c>
      <c r="D35" s="64" t="s">
        <v>135</v>
      </c>
      <c r="E35" s="2"/>
      <c r="F35" s="1">
        <f>E35*1</f>
        <v>0</v>
      </c>
      <c r="G35" s="1">
        <f t="shared" si="50"/>
        <v>0</v>
      </c>
      <c r="H35" s="1">
        <f t="shared" si="51"/>
        <v>0</v>
      </c>
      <c r="I35" s="1">
        <f t="shared" si="52"/>
        <v>0</v>
      </c>
      <c r="J35" s="2"/>
      <c r="K35" s="1">
        <f t="shared" si="61"/>
        <v>0</v>
      </c>
      <c r="L35" s="1">
        <f t="shared" si="62"/>
        <v>0</v>
      </c>
      <c r="M35" s="1">
        <f t="shared" si="63"/>
        <v>0</v>
      </c>
      <c r="N35" s="1">
        <f t="shared" si="64"/>
        <v>0</v>
      </c>
      <c r="O35" s="2"/>
      <c r="P35" s="1">
        <f t="shared" si="20"/>
        <v>0</v>
      </c>
      <c r="Q35" s="1">
        <f t="shared" si="21"/>
        <v>0</v>
      </c>
      <c r="R35" s="1">
        <f t="shared" si="22"/>
        <v>0</v>
      </c>
      <c r="S35" s="1">
        <f t="shared" si="23"/>
        <v>0</v>
      </c>
      <c r="T35" s="2"/>
      <c r="U35" s="1">
        <f t="shared" ref="U35:X36" si="74">T35*1</f>
        <v>0</v>
      </c>
      <c r="V35" s="1">
        <f t="shared" si="74"/>
        <v>0</v>
      </c>
      <c r="W35" s="1">
        <f t="shared" si="74"/>
        <v>0</v>
      </c>
      <c r="X35" s="1">
        <f t="shared" si="74"/>
        <v>0</v>
      </c>
      <c r="Y35" s="2"/>
      <c r="Z35" s="1">
        <f t="shared" si="25"/>
        <v>0</v>
      </c>
      <c r="AA35" s="2"/>
      <c r="AB35" s="1">
        <f t="shared" si="26"/>
        <v>0</v>
      </c>
      <c r="AC35" s="2"/>
      <c r="AD35" s="1">
        <f t="shared" si="27"/>
        <v>0</v>
      </c>
      <c r="AE35" s="2">
        <v>45</v>
      </c>
      <c r="AF35" s="1">
        <f t="shared" si="28"/>
        <v>360</v>
      </c>
      <c r="AG35" s="2">
        <v>70</v>
      </c>
      <c r="AH35" s="1">
        <f t="shared" si="29"/>
        <v>560</v>
      </c>
      <c r="AI35" s="1">
        <f t="shared" si="30"/>
        <v>280</v>
      </c>
      <c r="AJ35" s="2">
        <v>63</v>
      </c>
      <c r="AK35" s="1">
        <f t="shared" si="31"/>
        <v>504</v>
      </c>
      <c r="AL35" s="1">
        <f t="shared" si="32"/>
        <v>252</v>
      </c>
      <c r="AM35" s="2"/>
      <c r="AN35" s="1"/>
      <c r="AO35" s="1"/>
      <c r="AP35" s="1">
        <f t="shared" si="36"/>
        <v>178</v>
      </c>
      <c r="AQ35" s="32">
        <f t="shared" si="33"/>
        <v>1956</v>
      </c>
    </row>
    <row r="36" spans="2:44" x14ac:dyDescent="0.25">
      <c r="B36" s="10" t="s">
        <v>71</v>
      </c>
      <c r="C36" s="96">
        <v>34</v>
      </c>
      <c r="D36" s="64" t="s">
        <v>69</v>
      </c>
      <c r="E36" s="2">
        <v>30</v>
      </c>
      <c r="F36" s="1">
        <f>E36*1</f>
        <v>30</v>
      </c>
      <c r="G36" s="1">
        <f t="shared" si="50"/>
        <v>30</v>
      </c>
      <c r="H36" s="1">
        <f t="shared" si="51"/>
        <v>30</v>
      </c>
      <c r="I36" s="1">
        <f t="shared" si="52"/>
        <v>30</v>
      </c>
      <c r="J36" s="2">
        <v>35</v>
      </c>
      <c r="K36" s="1">
        <f t="shared" si="61"/>
        <v>35</v>
      </c>
      <c r="L36" s="1">
        <f t="shared" si="62"/>
        <v>35</v>
      </c>
      <c r="M36" s="1">
        <f t="shared" si="63"/>
        <v>35</v>
      </c>
      <c r="N36" s="1">
        <f t="shared" si="64"/>
        <v>35</v>
      </c>
      <c r="O36" s="2">
        <v>38</v>
      </c>
      <c r="P36" s="1">
        <f t="shared" si="20"/>
        <v>38</v>
      </c>
      <c r="Q36" s="1">
        <f t="shared" si="21"/>
        <v>38</v>
      </c>
      <c r="R36" s="1">
        <f t="shared" si="22"/>
        <v>38</v>
      </c>
      <c r="S36" s="1">
        <f t="shared" si="23"/>
        <v>38</v>
      </c>
      <c r="T36" s="2">
        <v>37</v>
      </c>
      <c r="U36" s="1">
        <f t="shared" si="74"/>
        <v>37</v>
      </c>
      <c r="V36" s="1">
        <f t="shared" ref="V36:X36" si="75">U36*1</f>
        <v>37</v>
      </c>
      <c r="W36" s="1">
        <f t="shared" si="75"/>
        <v>37</v>
      </c>
      <c r="X36" s="1">
        <f t="shared" si="75"/>
        <v>37</v>
      </c>
      <c r="Y36" s="2">
        <v>35</v>
      </c>
      <c r="Z36" s="1">
        <f t="shared" si="25"/>
        <v>280</v>
      </c>
      <c r="AA36" s="2">
        <v>38</v>
      </c>
      <c r="AB36" s="1">
        <f t="shared" si="26"/>
        <v>304</v>
      </c>
      <c r="AC36" s="2">
        <v>39</v>
      </c>
      <c r="AD36" s="1">
        <f t="shared" si="27"/>
        <v>312</v>
      </c>
      <c r="AE36" s="2"/>
      <c r="AF36" s="1">
        <f>AE36*8</f>
        <v>0</v>
      </c>
      <c r="AG36" s="2"/>
      <c r="AH36" s="1">
        <f t="shared" si="29"/>
        <v>0</v>
      </c>
      <c r="AI36" s="1">
        <f t="shared" si="30"/>
        <v>0</v>
      </c>
      <c r="AJ36" s="2"/>
      <c r="AK36" s="1">
        <f t="shared" si="31"/>
        <v>0</v>
      </c>
      <c r="AL36" s="1">
        <f t="shared" si="32"/>
        <v>0</v>
      </c>
      <c r="AM36" s="2"/>
      <c r="AN36" s="1"/>
      <c r="AO36" s="1"/>
      <c r="AP36" s="1">
        <f t="shared" si="36"/>
        <v>252</v>
      </c>
      <c r="AQ36" s="32">
        <f t="shared" si="33"/>
        <v>1456</v>
      </c>
    </row>
    <row r="37" spans="2:44" hidden="1" x14ac:dyDescent="0.25">
      <c r="B37" s="10" t="s">
        <v>80</v>
      </c>
      <c r="C37" s="96">
        <v>35</v>
      </c>
      <c r="D37" s="10" t="s">
        <v>78</v>
      </c>
      <c r="E37" s="2">
        <v>13</v>
      </c>
      <c r="F37" s="1">
        <f t="shared" si="49"/>
        <v>13</v>
      </c>
      <c r="G37" s="1">
        <f t="shared" si="50"/>
        <v>13</v>
      </c>
      <c r="H37" s="1">
        <f t="shared" si="51"/>
        <v>13</v>
      </c>
      <c r="I37" s="1">
        <f t="shared" si="52"/>
        <v>13</v>
      </c>
      <c r="J37" s="2">
        <v>11</v>
      </c>
      <c r="K37" s="1">
        <f t="shared" si="61"/>
        <v>11</v>
      </c>
      <c r="L37" s="1">
        <f t="shared" si="62"/>
        <v>11</v>
      </c>
      <c r="M37" s="1">
        <f t="shared" si="63"/>
        <v>11</v>
      </c>
      <c r="N37" s="1">
        <f t="shared" si="64"/>
        <v>11</v>
      </c>
      <c r="O37" s="2">
        <v>11</v>
      </c>
      <c r="P37" s="1">
        <f t="shared" si="20"/>
        <v>11</v>
      </c>
      <c r="Q37" s="1">
        <f t="shared" si="21"/>
        <v>11</v>
      </c>
      <c r="R37" s="1">
        <f t="shared" si="22"/>
        <v>11</v>
      </c>
      <c r="S37" s="1">
        <f t="shared" si="23"/>
        <v>11</v>
      </c>
      <c r="T37" s="2">
        <v>10</v>
      </c>
      <c r="U37" s="1">
        <f t="shared" ref="U37:X37" si="76">T37*1</f>
        <v>10</v>
      </c>
      <c r="V37" s="1">
        <f t="shared" si="76"/>
        <v>10</v>
      </c>
      <c r="W37" s="1">
        <f t="shared" si="76"/>
        <v>10</v>
      </c>
      <c r="X37" s="1">
        <f t="shared" si="76"/>
        <v>10</v>
      </c>
      <c r="Y37" s="2">
        <v>17</v>
      </c>
      <c r="Z37" s="1">
        <f t="shared" si="25"/>
        <v>136</v>
      </c>
      <c r="AA37" s="2">
        <v>24</v>
      </c>
      <c r="AB37" s="1">
        <f t="shared" si="26"/>
        <v>192</v>
      </c>
      <c r="AC37" s="2">
        <v>26</v>
      </c>
      <c r="AD37" s="1">
        <f t="shared" si="27"/>
        <v>208</v>
      </c>
      <c r="AE37" s="2"/>
      <c r="AF37" s="1">
        <f t="shared" si="28"/>
        <v>0</v>
      </c>
      <c r="AG37" s="2"/>
      <c r="AH37" s="1">
        <f t="shared" si="29"/>
        <v>0</v>
      </c>
      <c r="AI37" s="1">
        <f t="shared" si="30"/>
        <v>0</v>
      </c>
      <c r="AJ37" s="2"/>
      <c r="AK37" s="1">
        <f t="shared" si="31"/>
        <v>0</v>
      </c>
      <c r="AL37" s="1">
        <f t="shared" si="32"/>
        <v>0</v>
      </c>
      <c r="AM37" s="2"/>
      <c r="AN37" s="1"/>
      <c r="AO37" s="1"/>
      <c r="AP37" s="1">
        <f t="shared" si="36"/>
        <v>112</v>
      </c>
      <c r="AQ37" s="32">
        <f t="shared" si="33"/>
        <v>716</v>
      </c>
    </row>
    <row r="38" spans="2:44" hidden="1" x14ac:dyDescent="0.25">
      <c r="B38" s="10" t="s">
        <v>80</v>
      </c>
      <c r="C38" s="96">
        <v>36</v>
      </c>
      <c r="D38" s="10" t="s">
        <v>79</v>
      </c>
      <c r="E38" s="2">
        <v>22</v>
      </c>
      <c r="F38" s="1">
        <f t="shared" si="49"/>
        <v>22</v>
      </c>
      <c r="G38" s="1">
        <f t="shared" si="50"/>
        <v>22</v>
      </c>
      <c r="H38" s="1">
        <f t="shared" si="51"/>
        <v>22</v>
      </c>
      <c r="I38" s="1">
        <f t="shared" si="52"/>
        <v>22</v>
      </c>
      <c r="J38" s="2">
        <v>18</v>
      </c>
      <c r="K38" s="1">
        <f t="shared" si="61"/>
        <v>18</v>
      </c>
      <c r="L38" s="1">
        <f t="shared" si="62"/>
        <v>18</v>
      </c>
      <c r="M38" s="1">
        <f t="shared" si="63"/>
        <v>18</v>
      </c>
      <c r="N38" s="1">
        <f t="shared" si="64"/>
        <v>18</v>
      </c>
      <c r="O38" s="2">
        <v>16</v>
      </c>
      <c r="P38" s="1">
        <f t="shared" si="20"/>
        <v>16</v>
      </c>
      <c r="Q38" s="1">
        <f t="shared" si="21"/>
        <v>16</v>
      </c>
      <c r="R38" s="1">
        <f t="shared" si="22"/>
        <v>16</v>
      </c>
      <c r="S38" s="1">
        <f t="shared" si="23"/>
        <v>16</v>
      </c>
      <c r="T38" s="2">
        <v>14</v>
      </c>
      <c r="U38" s="1">
        <f t="shared" ref="U38:X38" si="77">T38*1</f>
        <v>14</v>
      </c>
      <c r="V38" s="1">
        <f t="shared" si="77"/>
        <v>14</v>
      </c>
      <c r="W38" s="1">
        <f t="shared" si="77"/>
        <v>14</v>
      </c>
      <c r="X38" s="1">
        <f t="shared" si="77"/>
        <v>14</v>
      </c>
      <c r="Y38" s="2">
        <v>22</v>
      </c>
      <c r="Z38" s="1">
        <f t="shared" si="25"/>
        <v>176</v>
      </c>
      <c r="AA38" s="2">
        <v>16</v>
      </c>
      <c r="AB38" s="1">
        <f t="shared" si="26"/>
        <v>128</v>
      </c>
      <c r="AC38" s="2">
        <v>19</v>
      </c>
      <c r="AD38" s="1">
        <f t="shared" si="27"/>
        <v>152</v>
      </c>
      <c r="AE38" s="2"/>
      <c r="AF38" s="1">
        <f t="shared" si="28"/>
        <v>0</v>
      </c>
      <c r="AG38" s="2"/>
      <c r="AH38" s="1">
        <f t="shared" si="29"/>
        <v>0</v>
      </c>
      <c r="AI38" s="1">
        <f t="shared" si="30"/>
        <v>0</v>
      </c>
      <c r="AJ38" s="2"/>
      <c r="AK38" s="1">
        <f t="shared" si="31"/>
        <v>0</v>
      </c>
      <c r="AL38" s="1">
        <f t="shared" si="32"/>
        <v>0</v>
      </c>
      <c r="AM38" s="2"/>
      <c r="AN38" s="1"/>
      <c r="AO38" s="1"/>
      <c r="AP38" s="1">
        <f t="shared" si="36"/>
        <v>127</v>
      </c>
      <c r="AQ38" s="32">
        <f t="shared" si="33"/>
        <v>736</v>
      </c>
    </row>
    <row r="39" spans="2:44" hidden="1" x14ac:dyDescent="0.25">
      <c r="B39" s="10" t="s">
        <v>80</v>
      </c>
      <c r="C39" s="96">
        <v>37</v>
      </c>
      <c r="D39" s="10" t="s">
        <v>86</v>
      </c>
      <c r="E39" s="2">
        <v>8</v>
      </c>
      <c r="F39" s="1">
        <f t="shared" si="49"/>
        <v>8</v>
      </c>
      <c r="G39" s="1">
        <f t="shared" si="50"/>
        <v>8</v>
      </c>
      <c r="H39" s="1">
        <f t="shared" si="51"/>
        <v>8</v>
      </c>
      <c r="I39" s="1">
        <f t="shared" si="52"/>
        <v>8</v>
      </c>
      <c r="J39" s="2">
        <v>22</v>
      </c>
      <c r="K39" s="1">
        <f t="shared" si="61"/>
        <v>22</v>
      </c>
      <c r="L39" s="1">
        <f t="shared" si="62"/>
        <v>22</v>
      </c>
      <c r="M39" s="1">
        <f t="shared" si="63"/>
        <v>22</v>
      </c>
      <c r="N39" s="1">
        <f t="shared" si="64"/>
        <v>22</v>
      </c>
      <c r="O39" s="2">
        <v>20</v>
      </c>
      <c r="P39" s="1">
        <f t="shared" si="20"/>
        <v>20</v>
      </c>
      <c r="Q39" s="1">
        <f t="shared" si="21"/>
        <v>20</v>
      </c>
      <c r="R39" s="1">
        <f t="shared" si="22"/>
        <v>20</v>
      </c>
      <c r="S39" s="1">
        <f t="shared" si="23"/>
        <v>20</v>
      </c>
      <c r="T39" s="2">
        <v>15</v>
      </c>
      <c r="U39" s="1">
        <f t="shared" ref="U39:X39" si="78">T39*1</f>
        <v>15</v>
      </c>
      <c r="V39" s="1">
        <f t="shared" si="78"/>
        <v>15</v>
      </c>
      <c r="W39" s="1">
        <f t="shared" si="78"/>
        <v>15</v>
      </c>
      <c r="X39" s="1">
        <f t="shared" si="78"/>
        <v>15</v>
      </c>
      <c r="Y39" s="2">
        <v>21</v>
      </c>
      <c r="Z39" s="1">
        <f t="shared" si="25"/>
        <v>168</v>
      </c>
      <c r="AA39" s="2">
        <v>18</v>
      </c>
      <c r="AB39" s="1">
        <f t="shared" si="26"/>
        <v>144</v>
      </c>
      <c r="AC39" s="2">
        <v>22</v>
      </c>
      <c r="AD39" s="1">
        <f t="shared" si="27"/>
        <v>176</v>
      </c>
      <c r="AE39" s="2"/>
      <c r="AF39" s="1">
        <f t="shared" si="28"/>
        <v>0</v>
      </c>
      <c r="AG39" s="2"/>
      <c r="AH39" s="1">
        <f t="shared" si="29"/>
        <v>0</v>
      </c>
      <c r="AI39" s="1">
        <f t="shared" si="30"/>
        <v>0</v>
      </c>
      <c r="AJ39" s="2"/>
      <c r="AK39" s="1">
        <f t="shared" si="31"/>
        <v>0</v>
      </c>
      <c r="AL39" s="1">
        <f t="shared" si="32"/>
        <v>0</v>
      </c>
      <c r="AM39" s="2"/>
      <c r="AN39" s="1"/>
      <c r="AO39" s="1"/>
      <c r="AP39" s="1">
        <f t="shared" si="36"/>
        <v>126</v>
      </c>
      <c r="AQ39" s="32">
        <f t="shared" si="33"/>
        <v>748</v>
      </c>
    </row>
    <row r="40" spans="2:44" hidden="1" x14ac:dyDescent="0.25">
      <c r="B40" s="10" t="s">
        <v>80</v>
      </c>
      <c r="C40" s="96">
        <v>38</v>
      </c>
      <c r="D40" s="10" t="s">
        <v>87</v>
      </c>
      <c r="E40" s="2">
        <v>5</v>
      </c>
      <c r="F40" s="1">
        <f t="shared" si="49"/>
        <v>5</v>
      </c>
      <c r="G40" s="1">
        <f t="shared" si="50"/>
        <v>5</v>
      </c>
      <c r="H40" s="1">
        <f t="shared" si="51"/>
        <v>5</v>
      </c>
      <c r="I40" s="1">
        <f t="shared" si="52"/>
        <v>5</v>
      </c>
      <c r="J40" s="2">
        <v>10</v>
      </c>
      <c r="K40" s="1">
        <f t="shared" si="61"/>
        <v>10</v>
      </c>
      <c r="L40" s="1">
        <f t="shared" si="62"/>
        <v>10</v>
      </c>
      <c r="M40" s="1">
        <f t="shared" si="63"/>
        <v>10</v>
      </c>
      <c r="N40" s="1">
        <f t="shared" si="64"/>
        <v>10</v>
      </c>
      <c r="O40" s="2">
        <v>12</v>
      </c>
      <c r="P40" s="1">
        <f t="shared" si="20"/>
        <v>12</v>
      </c>
      <c r="Q40" s="1">
        <f t="shared" si="21"/>
        <v>12</v>
      </c>
      <c r="R40" s="1">
        <f t="shared" si="22"/>
        <v>12</v>
      </c>
      <c r="S40" s="1">
        <f t="shared" si="23"/>
        <v>12</v>
      </c>
      <c r="T40" s="2">
        <v>5</v>
      </c>
      <c r="U40" s="1">
        <f t="shared" ref="U40:X40" si="79">T40*1</f>
        <v>5</v>
      </c>
      <c r="V40" s="1">
        <f t="shared" si="79"/>
        <v>5</v>
      </c>
      <c r="W40" s="1">
        <f t="shared" si="79"/>
        <v>5</v>
      </c>
      <c r="X40" s="1">
        <f t="shared" si="79"/>
        <v>5</v>
      </c>
      <c r="Y40" s="2">
        <v>10</v>
      </c>
      <c r="Z40" s="1">
        <f t="shared" si="25"/>
        <v>80</v>
      </c>
      <c r="AA40" s="2">
        <v>12</v>
      </c>
      <c r="AB40" s="1">
        <f t="shared" si="26"/>
        <v>96</v>
      </c>
      <c r="AC40" s="2">
        <v>12</v>
      </c>
      <c r="AD40" s="1">
        <f t="shared" si="27"/>
        <v>96</v>
      </c>
      <c r="AE40" s="2"/>
      <c r="AF40" s="1">
        <f t="shared" si="28"/>
        <v>0</v>
      </c>
      <c r="AG40" s="2"/>
      <c r="AH40" s="1">
        <f t="shared" si="29"/>
        <v>0</v>
      </c>
      <c r="AI40" s="1">
        <f t="shared" si="30"/>
        <v>0</v>
      </c>
      <c r="AJ40" s="2"/>
      <c r="AK40" s="1">
        <f t="shared" si="31"/>
        <v>0</v>
      </c>
      <c r="AL40" s="1">
        <f t="shared" si="32"/>
        <v>0</v>
      </c>
      <c r="AM40" s="2"/>
      <c r="AN40" s="1"/>
      <c r="AO40" s="1"/>
      <c r="AP40" s="1">
        <f t="shared" si="36"/>
        <v>66</v>
      </c>
      <c r="AQ40" s="32">
        <f t="shared" si="33"/>
        <v>400</v>
      </c>
    </row>
    <row r="41" spans="2:44" hidden="1" x14ac:dyDescent="0.25">
      <c r="B41" s="10" t="s">
        <v>80</v>
      </c>
      <c r="C41" s="96">
        <v>39</v>
      </c>
      <c r="D41" s="10" t="s">
        <v>88</v>
      </c>
      <c r="E41" s="2">
        <v>22</v>
      </c>
      <c r="F41" s="1">
        <f t="shared" si="49"/>
        <v>22</v>
      </c>
      <c r="G41" s="1">
        <f t="shared" si="50"/>
        <v>22</v>
      </c>
      <c r="H41" s="1">
        <f t="shared" si="51"/>
        <v>22</v>
      </c>
      <c r="I41" s="1">
        <f t="shared" si="52"/>
        <v>22</v>
      </c>
      <c r="J41" s="2">
        <v>27</v>
      </c>
      <c r="K41" s="1">
        <f t="shared" si="61"/>
        <v>27</v>
      </c>
      <c r="L41" s="1">
        <f t="shared" si="62"/>
        <v>27</v>
      </c>
      <c r="M41" s="1">
        <f t="shared" si="63"/>
        <v>27</v>
      </c>
      <c r="N41" s="1">
        <f t="shared" si="64"/>
        <v>27</v>
      </c>
      <c r="O41" s="2">
        <v>39</v>
      </c>
      <c r="P41" s="1">
        <f t="shared" si="20"/>
        <v>39</v>
      </c>
      <c r="Q41" s="1">
        <f t="shared" si="21"/>
        <v>39</v>
      </c>
      <c r="R41" s="1">
        <f t="shared" si="22"/>
        <v>39</v>
      </c>
      <c r="S41" s="1">
        <f t="shared" si="23"/>
        <v>39</v>
      </c>
      <c r="T41" s="2">
        <v>31</v>
      </c>
      <c r="U41" s="1">
        <f t="shared" ref="U41:X43" si="80">T41*1</f>
        <v>31</v>
      </c>
      <c r="V41" s="1">
        <f t="shared" si="80"/>
        <v>31</v>
      </c>
      <c r="W41" s="1">
        <f t="shared" si="80"/>
        <v>31</v>
      </c>
      <c r="X41" s="1">
        <f t="shared" si="80"/>
        <v>31</v>
      </c>
      <c r="Y41" s="2">
        <v>41</v>
      </c>
      <c r="Z41" s="1">
        <f t="shared" si="25"/>
        <v>328</v>
      </c>
      <c r="AA41" s="2">
        <v>16</v>
      </c>
      <c r="AB41" s="1">
        <f t="shared" si="26"/>
        <v>128</v>
      </c>
      <c r="AC41" s="2">
        <v>26</v>
      </c>
      <c r="AD41" s="1">
        <f t="shared" si="27"/>
        <v>208</v>
      </c>
      <c r="AE41" s="2"/>
      <c r="AF41" s="1">
        <f t="shared" si="28"/>
        <v>0</v>
      </c>
      <c r="AG41" s="2"/>
      <c r="AH41" s="1">
        <f t="shared" si="29"/>
        <v>0</v>
      </c>
      <c r="AI41" s="1">
        <f t="shared" si="30"/>
        <v>0</v>
      </c>
      <c r="AJ41" s="2"/>
      <c r="AK41" s="1">
        <f t="shared" si="31"/>
        <v>0</v>
      </c>
      <c r="AL41" s="1">
        <f t="shared" si="32"/>
        <v>0</v>
      </c>
      <c r="AM41" s="2"/>
      <c r="AN41" s="1"/>
      <c r="AO41" s="1"/>
      <c r="AP41" s="1">
        <f t="shared" si="36"/>
        <v>202</v>
      </c>
      <c r="AQ41" s="32">
        <f t="shared" si="33"/>
        <v>1140</v>
      </c>
    </row>
    <row r="42" spans="2:44" x14ac:dyDescent="0.25">
      <c r="B42" s="10" t="s">
        <v>71</v>
      </c>
      <c r="C42" s="96">
        <v>40</v>
      </c>
      <c r="D42" s="64" t="s">
        <v>100</v>
      </c>
      <c r="E42" s="2"/>
      <c r="F42" s="1">
        <f t="shared" si="49"/>
        <v>0</v>
      </c>
      <c r="G42" s="1">
        <f t="shared" si="50"/>
        <v>0</v>
      </c>
      <c r="H42" s="1">
        <f t="shared" si="51"/>
        <v>0</v>
      </c>
      <c r="I42" s="1">
        <f t="shared" si="52"/>
        <v>0</v>
      </c>
      <c r="J42" s="2"/>
      <c r="K42" s="1">
        <f t="shared" si="61"/>
        <v>0</v>
      </c>
      <c r="L42" s="1">
        <f t="shared" si="62"/>
        <v>0</v>
      </c>
      <c r="M42" s="1">
        <f t="shared" si="63"/>
        <v>0</v>
      </c>
      <c r="N42" s="1">
        <f t="shared" si="64"/>
        <v>0</v>
      </c>
      <c r="O42" s="2"/>
      <c r="P42" s="1">
        <f t="shared" si="20"/>
        <v>0</v>
      </c>
      <c r="Q42" s="1">
        <f t="shared" si="21"/>
        <v>0</v>
      </c>
      <c r="R42" s="1">
        <f t="shared" si="22"/>
        <v>0</v>
      </c>
      <c r="S42" s="1">
        <f t="shared" si="23"/>
        <v>0</v>
      </c>
      <c r="T42" s="2"/>
      <c r="U42" s="1">
        <f t="shared" si="80"/>
        <v>0</v>
      </c>
      <c r="V42" s="1">
        <f t="shared" ref="V42:X42" si="81">U42*1</f>
        <v>0</v>
      </c>
      <c r="W42" s="1">
        <f t="shared" si="81"/>
        <v>0</v>
      </c>
      <c r="X42" s="1">
        <f t="shared" si="81"/>
        <v>0</v>
      </c>
      <c r="Y42" s="2"/>
      <c r="Z42" s="1">
        <f t="shared" si="25"/>
        <v>0</v>
      </c>
      <c r="AA42" s="2"/>
      <c r="AB42" s="1">
        <f t="shared" si="26"/>
        <v>0</v>
      </c>
      <c r="AC42" s="2"/>
      <c r="AD42" s="1">
        <f t="shared" si="27"/>
        <v>0</v>
      </c>
      <c r="AE42" s="2">
        <v>38</v>
      </c>
      <c r="AF42" s="1">
        <f t="shared" si="28"/>
        <v>304</v>
      </c>
      <c r="AG42" s="2">
        <v>36</v>
      </c>
      <c r="AH42" s="1">
        <f t="shared" si="29"/>
        <v>288</v>
      </c>
      <c r="AI42" s="1">
        <f t="shared" si="30"/>
        <v>144</v>
      </c>
      <c r="AJ42" s="2">
        <v>54</v>
      </c>
      <c r="AK42" s="1">
        <f t="shared" si="31"/>
        <v>432</v>
      </c>
      <c r="AL42" s="1">
        <f t="shared" si="32"/>
        <v>216</v>
      </c>
      <c r="AM42" s="2"/>
      <c r="AN42" s="1"/>
      <c r="AO42" s="1"/>
      <c r="AP42" s="1">
        <f t="shared" si="36"/>
        <v>128</v>
      </c>
      <c r="AQ42" s="32">
        <f t="shared" si="33"/>
        <v>1384</v>
      </c>
    </row>
    <row r="43" spans="2:44" x14ac:dyDescent="0.25">
      <c r="B43" s="10" t="s">
        <v>71</v>
      </c>
      <c r="C43" s="96">
        <v>41</v>
      </c>
      <c r="D43" s="64" t="s">
        <v>130</v>
      </c>
      <c r="E43" s="2"/>
      <c r="F43" s="1">
        <f t="shared" si="49"/>
        <v>0</v>
      </c>
      <c r="G43" s="1">
        <f t="shared" si="50"/>
        <v>0</v>
      </c>
      <c r="H43" s="1">
        <f t="shared" si="51"/>
        <v>0</v>
      </c>
      <c r="I43" s="1">
        <f t="shared" si="52"/>
        <v>0</v>
      </c>
      <c r="J43" s="2"/>
      <c r="K43" s="1">
        <f t="shared" si="61"/>
        <v>0</v>
      </c>
      <c r="L43" s="1">
        <f t="shared" si="62"/>
        <v>0</v>
      </c>
      <c r="M43" s="1">
        <f t="shared" si="63"/>
        <v>0</v>
      </c>
      <c r="N43" s="1">
        <f t="shared" si="64"/>
        <v>0</v>
      </c>
      <c r="O43" s="2"/>
      <c r="P43" s="1">
        <f t="shared" si="20"/>
        <v>0</v>
      </c>
      <c r="Q43" s="1">
        <f t="shared" si="21"/>
        <v>0</v>
      </c>
      <c r="R43" s="1">
        <f t="shared" si="22"/>
        <v>0</v>
      </c>
      <c r="S43" s="1">
        <f t="shared" si="23"/>
        <v>0</v>
      </c>
      <c r="T43" s="2"/>
      <c r="U43" s="1">
        <f t="shared" si="80"/>
        <v>0</v>
      </c>
      <c r="V43" s="1">
        <f t="shared" ref="V43:X43" si="82">U43*1</f>
        <v>0</v>
      </c>
      <c r="W43" s="1">
        <f t="shared" si="82"/>
        <v>0</v>
      </c>
      <c r="X43" s="1">
        <f t="shared" si="82"/>
        <v>0</v>
      </c>
      <c r="Y43" s="2"/>
      <c r="Z43" s="1">
        <f t="shared" si="25"/>
        <v>0</v>
      </c>
      <c r="AA43" s="2"/>
      <c r="AB43" s="1">
        <f t="shared" si="26"/>
        <v>0</v>
      </c>
      <c r="AC43" s="2"/>
      <c r="AD43" s="1">
        <f t="shared" si="27"/>
        <v>0</v>
      </c>
      <c r="AE43" s="2">
        <v>50</v>
      </c>
      <c r="AF43" s="1">
        <f t="shared" si="28"/>
        <v>400</v>
      </c>
      <c r="AG43" s="1">
        <v>44</v>
      </c>
      <c r="AH43" s="1">
        <f t="shared" si="29"/>
        <v>352</v>
      </c>
      <c r="AI43" s="1">
        <f t="shared" si="30"/>
        <v>176</v>
      </c>
      <c r="AJ43" s="2">
        <v>60</v>
      </c>
      <c r="AK43" s="1">
        <f>AJ43*8</f>
        <v>480</v>
      </c>
      <c r="AL43" s="1">
        <f t="shared" si="32"/>
        <v>240</v>
      </c>
      <c r="AM43" s="2"/>
      <c r="AN43" s="1"/>
      <c r="AO43" s="1"/>
      <c r="AP43" s="1">
        <f t="shared" si="36"/>
        <v>154</v>
      </c>
      <c r="AQ43" s="32">
        <f t="shared" si="33"/>
        <v>1648</v>
      </c>
    </row>
    <row r="44" spans="2:44" hidden="1" x14ac:dyDescent="0.25">
      <c r="B44" s="10" t="s">
        <v>80</v>
      </c>
      <c r="C44" s="96">
        <v>42</v>
      </c>
      <c r="D44" s="66" t="s">
        <v>134</v>
      </c>
      <c r="E44" s="2">
        <v>12</v>
      </c>
      <c r="F44" s="1">
        <f t="shared" si="49"/>
        <v>12</v>
      </c>
      <c r="G44" s="1">
        <f t="shared" si="50"/>
        <v>12</v>
      </c>
      <c r="H44" s="1">
        <f t="shared" si="51"/>
        <v>12</v>
      </c>
      <c r="I44" s="1">
        <f t="shared" si="52"/>
        <v>12</v>
      </c>
      <c r="J44" s="2">
        <v>17</v>
      </c>
      <c r="K44" s="1">
        <f t="shared" si="61"/>
        <v>17</v>
      </c>
      <c r="L44" s="1">
        <f t="shared" si="62"/>
        <v>17</v>
      </c>
      <c r="M44" s="1">
        <f t="shared" si="63"/>
        <v>17</v>
      </c>
      <c r="N44" s="1">
        <f t="shared" si="64"/>
        <v>17</v>
      </c>
      <c r="O44" s="2">
        <v>16</v>
      </c>
      <c r="P44" s="1">
        <f t="shared" si="20"/>
        <v>16</v>
      </c>
      <c r="Q44" s="1">
        <f t="shared" si="21"/>
        <v>16</v>
      </c>
      <c r="R44" s="1">
        <f t="shared" si="22"/>
        <v>16</v>
      </c>
      <c r="S44" s="1">
        <f t="shared" si="23"/>
        <v>16</v>
      </c>
      <c r="T44" s="2">
        <v>18</v>
      </c>
      <c r="U44" s="1">
        <f t="shared" ref="U44:X44" si="83">T44*1</f>
        <v>18</v>
      </c>
      <c r="V44" s="1">
        <f t="shared" si="83"/>
        <v>18</v>
      </c>
      <c r="W44" s="1">
        <f t="shared" si="83"/>
        <v>18</v>
      </c>
      <c r="X44" s="1">
        <f t="shared" si="83"/>
        <v>18</v>
      </c>
      <c r="Y44" s="2">
        <v>15</v>
      </c>
      <c r="Z44" s="1">
        <f t="shared" si="25"/>
        <v>120</v>
      </c>
      <c r="AA44" s="2">
        <v>36</v>
      </c>
      <c r="AB44" s="1">
        <f t="shared" si="26"/>
        <v>288</v>
      </c>
      <c r="AC44" s="2">
        <v>21</v>
      </c>
      <c r="AD44" s="1">
        <f t="shared" si="27"/>
        <v>168</v>
      </c>
      <c r="AE44" s="2">
        <v>21</v>
      </c>
      <c r="AF44" s="1">
        <f t="shared" si="28"/>
        <v>168</v>
      </c>
      <c r="AG44" s="1"/>
      <c r="AH44" s="1">
        <f t="shared" si="29"/>
        <v>0</v>
      </c>
      <c r="AI44" s="1">
        <f t="shared" si="30"/>
        <v>0</v>
      </c>
      <c r="AJ44" s="2"/>
      <c r="AK44" s="1">
        <f t="shared" si="31"/>
        <v>0</v>
      </c>
      <c r="AL44" s="1">
        <f t="shared" si="32"/>
        <v>0</v>
      </c>
      <c r="AM44" s="2"/>
      <c r="AN44" s="1"/>
      <c r="AO44" s="1"/>
      <c r="AP44" s="1">
        <f t="shared" si="36"/>
        <v>156</v>
      </c>
      <c r="AQ44" s="32">
        <f t="shared" si="33"/>
        <v>996</v>
      </c>
      <c r="AR44" s="1"/>
    </row>
    <row r="45" spans="2:44" hidden="1" x14ac:dyDescent="0.25">
      <c r="B45" s="10" t="s">
        <v>80</v>
      </c>
      <c r="C45" s="96">
        <v>43</v>
      </c>
      <c r="D45" s="10" t="s">
        <v>104</v>
      </c>
      <c r="E45" s="95">
        <v>34</v>
      </c>
      <c r="F45" s="1">
        <f t="shared" si="49"/>
        <v>34</v>
      </c>
      <c r="G45" s="1">
        <f t="shared" si="50"/>
        <v>34</v>
      </c>
      <c r="H45" s="1">
        <f t="shared" si="51"/>
        <v>34</v>
      </c>
      <c r="I45" s="1">
        <f t="shared" si="52"/>
        <v>34</v>
      </c>
      <c r="J45" s="2">
        <v>24</v>
      </c>
      <c r="K45" s="1">
        <f t="shared" si="61"/>
        <v>24</v>
      </c>
      <c r="L45" s="1">
        <f t="shared" si="62"/>
        <v>24</v>
      </c>
      <c r="M45" s="1">
        <f t="shared" si="63"/>
        <v>24</v>
      </c>
      <c r="N45" s="1">
        <f t="shared" si="64"/>
        <v>24</v>
      </c>
      <c r="O45" s="2">
        <v>25</v>
      </c>
      <c r="P45" s="1">
        <f t="shared" si="20"/>
        <v>25</v>
      </c>
      <c r="Q45" s="1">
        <f t="shared" si="21"/>
        <v>25</v>
      </c>
      <c r="R45" s="1">
        <f t="shared" si="22"/>
        <v>25</v>
      </c>
      <c r="S45" s="1">
        <f t="shared" si="23"/>
        <v>25</v>
      </c>
      <c r="T45" s="2">
        <v>26</v>
      </c>
      <c r="U45" s="1">
        <f t="shared" ref="U45:X45" si="84">T45*1</f>
        <v>26</v>
      </c>
      <c r="V45" s="1">
        <f t="shared" si="84"/>
        <v>26</v>
      </c>
      <c r="W45" s="1">
        <f t="shared" si="84"/>
        <v>26</v>
      </c>
      <c r="X45" s="1">
        <f t="shared" si="84"/>
        <v>26</v>
      </c>
      <c r="Y45" s="2">
        <v>24</v>
      </c>
      <c r="Z45" s="1">
        <f>Y45*8</f>
        <v>192</v>
      </c>
      <c r="AA45" s="2">
        <v>33</v>
      </c>
      <c r="AB45" s="1">
        <f>AA45*8</f>
        <v>264</v>
      </c>
      <c r="AC45" s="2">
        <v>18</v>
      </c>
      <c r="AD45" s="1">
        <f>AC45*8</f>
        <v>144</v>
      </c>
      <c r="AE45" s="2">
        <v>25</v>
      </c>
      <c r="AF45" s="1">
        <f t="shared" si="28"/>
        <v>200</v>
      </c>
      <c r="AG45" s="1"/>
      <c r="AH45" s="1">
        <f t="shared" si="29"/>
        <v>0</v>
      </c>
      <c r="AI45" s="1">
        <f t="shared" si="30"/>
        <v>0</v>
      </c>
      <c r="AJ45" s="2"/>
      <c r="AK45" s="1">
        <f t="shared" si="31"/>
        <v>0</v>
      </c>
      <c r="AL45" s="1">
        <f t="shared" si="32"/>
        <v>0</v>
      </c>
      <c r="AM45" s="2"/>
      <c r="AN45" s="1"/>
      <c r="AO45" s="1"/>
      <c r="AP45" s="1">
        <f t="shared" si="36"/>
        <v>209</v>
      </c>
      <c r="AQ45" s="32">
        <f t="shared" si="33"/>
        <v>1236</v>
      </c>
    </row>
    <row r="46" spans="2:44" hidden="1" x14ac:dyDescent="0.25">
      <c r="B46" s="10" t="s">
        <v>80</v>
      </c>
      <c r="C46" s="96">
        <v>44</v>
      </c>
      <c r="D46" s="10" t="s">
        <v>107</v>
      </c>
      <c r="E46" s="2">
        <v>15</v>
      </c>
      <c r="F46" s="1">
        <f t="shared" si="49"/>
        <v>15</v>
      </c>
      <c r="G46" s="1">
        <f t="shared" si="50"/>
        <v>15</v>
      </c>
      <c r="H46" s="1">
        <f t="shared" si="51"/>
        <v>15</v>
      </c>
      <c r="I46" s="1">
        <f t="shared" si="52"/>
        <v>15</v>
      </c>
      <c r="J46" s="2">
        <v>19</v>
      </c>
      <c r="K46" s="1">
        <f t="shared" si="61"/>
        <v>19</v>
      </c>
      <c r="L46" s="1">
        <f t="shared" si="62"/>
        <v>19</v>
      </c>
      <c r="M46" s="1">
        <f t="shared" si="63"/>
        <v>19</v>
      </c>
      <c r="N46" s="1">
        <f t="shared" si="64"/>
        <v>19</v>
      </c>
      <c r="O46" s="2">
        <v>14</v>
      </c>
      <c r="P46" s="1">
        <f t="shared" si="20"/>
        <v>14</v>
      </c>
      <c r="Q46" s="1">
        <f t="shared" si="21"/>
        <v>14</v>
      </c>
      <c r="R46" s="1">
        <f t="shared" si="22"/>
        <v>14</v>
      </c>
      <c r="S46" s="1">
        <f t="shared" si="23"/>
        <v>14</v>
      </c>
      <c r="T46" s="2">
        <v>15</v>
      </c>
      <c r="U46" s="1">
        <f t="shared" ref="U46:X46" si="85">T46*1</f>
        <v>15</v>
      </c>
      <c r="V46" s="1">
        <f t="shared" si="85"/>
        <v>15</v>
      </c>
      <c r="W46" s="1">
        <f t="shared" si="85"/>
        <v>15</v>
      </c>
      <c r="X46" s="1">
        <f t="shared" si="85"/>
        <v>15</v>
      </c>
      <c r="Y46" s="2">
        <v>14</v>
      </c>
      <c r="Z46" s="1">
        <f t="shared" si="25"/>
        <v>112</v>
      </c>
      <c r="AA46" s="2">
        <v>13</v>
      </c>
      <c r="AB46" s="1">
        <f t="shared" si="26"/>
        <v>104</v>
      </c>
      <c r="AC46" s="2">
        <v>18</v>
      </c>
      <c r="AD46" s="1">
        <f t="shared" si="27"/>
        <v>144</v>
      </c>
      <c r="AE46" s="2"/>
      <c r="AF46" s="1">
        <f t="shared" si="28"/>
        <v>0</v>
      </c>
      <c r="AG46" s="1"/>
      <c r="AH46" s="1">
        <f t="shared" si="29"/>
        <v>0</v>
      </c>
      <c r="AI46" s="1">
        <f t="shared" si="30"/>
        <v>0</v>
      </c>
      <c r="AJ46" s="2"/>
      <c r="AK46" s="1">
        <f t="shared" si="31"/>
        <v>0</v>
      </c>
      <c r="AL46" s="1">
        <f t="shared" si="32"/>
        <v>0</v>
      </c>
      <c r="AM46" s="2"/>
      <c r="AN46" s="1"/>
      <c r="AO46" s="1"/>
      <c r="AP46" s="1">
        <f t="shared" si="36"/>
        <v>108</v>
      </c>
      <c r="AQ46" s="32">
        <f t="shared" si="33"/>
        <v>612</v>
      </c>
    </row>
    <row r="47" spans="2:44" hidden="1" x14ac:dyDescent="0.25">
      <c r="B47" s="10" t="s">
        <v>80</v>
      </c>
      <c r="C47" s="96">
        <v>45</v>
      </c>
      <c r="D47" s="10" t="s">
        <v>108</v>
      </c>
      <c r="E47" s="2">
        <v>19</v>
      </c>
      <c r="F47" s="1">
        <f t="shared" si="49"/>
        <v>19</v>
      </c>
      <c r="G47" s="1">
        <f t="shared" si="50"/>
        <v>19</v>
      </c>
      <c r="H47" s="1">
        <f t="shared" si="51"/>
        <v>19</v>
      </c>
      <c r="I47" s="1">
        <f t="shared" si="52"/>
        <v>19</v>
      </c>
      <c r="J47" s="2">
        <v>22</v>
      </c>
      <c r="K47" s="1">
        <f t="shared" si="61"/>
        <v>22</v>
      </c>
      <c r="L47" s="1">
        <f t="shared" si="62"/>
        <v>22</v>
      </c>
      <c r="M47" s="1">
        <f t="shared" si="63"/>
        <v>22</v>
      </c>
      <c r="N47" s="1">
        <f t="shared" si="64"/>
        <v>22</v>
      </c>
      <c r="O47" s="2">
        <v>28</v>
      </c>
      <c r="P47" s="1">
        <f t="shared" si="20"/>
        <v>28</v>
      </c>
      <c r="Q47" s="1">
        <f t="shared" si="21"/>
        <v>28</v>
      </c>
      <c r="R47" s="1">
        <f t="shared" si="22"/>
        <v>28</v>
      </c>
      <c r="S47" s="1">
        <f t="shared" si="23"/>
        <v>28</v>
      </c>
      <c r="T47" s="2">
        <v>23</v>
      </c>
      <c r="U47" s="1">
        <f t="shared" ref="U47:X47" si="86">T47*1</f>
        <v>23</v>
      </c>
      <c r="V47" s="1">
        <f t="shared" si="86"/>
        <v>23</v>
      </c>
      <c r="W47" s="1">
        <f t="shared" si="86"/>
        <v>23</v>
      </c>
      <c r="X47" s="1">
        <f t="shared" si="86"/>
        <v>23</v>
      </c>
      <c r="Y47" s="2"/>
      <c r="Z47" s="1">
        <f t="shared" si="25"/>
        <v>0</v>
      </c>
      <c r="AA47" s="2"/>
      <c r="AB47" s="1">
        <f t="shared" si="26"/>
        <v>0</v>
      </c>
      <c r="AC47" s="2"/>
      <c r="AD47" s="1">
        <f t="shared" si="27"/>
        <v>0</v>
      </c>
      <c r="AE47" s="2"/>
      <c r="AF47" s="1">
        <f t="shared" si="28"/>
        <v>0</v>
      </c>
      <c r="AG47" s="1"/>
      <c r="AH47" s="1">
        <f t="shared" si="29"/>
        <v>0</v>
      </c>
      <c r="AI47" s="1">
        <f t="shared" si="30"/>
        <v>0</v>
      </c>
      <c r="AJ47" s="2"/>
      <c r="AK47" s="1">
        <f t="shared" si="31"/>
        <v>0</v>
      </c>
      <c r="AL47" s="1">
        <f t="shared" si="32"/>
        <v>0</v>
      </c>
      <c r="AM47" s="2"/>
      <c r="AN47" s="1"/>
      <c r="AO47" s="1"/>
      <c r="AP47" s="1">
        <f t="shared" si="36"/>
        <v>92</v>
      </c>
      <c r="AQ47" s="32">
        <f t="shared" si="33"/>
        <v>368</v>
      </c>
    </row>
    <row r="48" spans="2:44" hidden="1" x14ac:dyDescent="0.25">
      <c r="B48" s="10" t="s">
        <v>80</v>
      </c>
      <c r="C48" s="96">
        <v>46</v>
      </c>
      <c r="D48" s="1" t="s">
        <v>109</v>
      </c>
      <c r="E48" s="2">
        <v>7</v>
      </c>
      <c r="F48" s="1">
        <f t="shared" si="49"/>
        <v>7</v>
      </c>
      <c r="G48" s="1">
        <f t="shared" si="50"/>
        <v>7</v>
      </c>
      <c r="H48" s="1">
        <f t="shared" si="51"/>
        <v>7</v>
      </c>
      <c r="I48" s="1">
        <f t="shared" si="52"/>
        <v>7</v>
      </c>
      <c r="J48" s="2">
        <v>6</v>
      </c>
      <c r="K48" s="1">
        <f t="shared" si="61"/>
        <v>6</v>
      </c>
      <c r="L48" s="1">
        <f t="shared" si="62"/>
        <v>6</v>
      </c>
      <c r="M48" s="1">
        <f t="shared" si="63"/>
        <v>6</v>
      </c>
      <c r="N48" s="1">
        <f t="shared" si="64"/>
        <v>6</v>
      </c>
      <c r="O48" s="2">
        <v>11</v>
      </c>
      <c r="P48" s="1">
        <f t="shared" si="20"/>
        <v>11</v>
      </c>
      <c r="Q48" s="1">
        <f t="shared" si="21"/>
        <v>11</v>
      </c>
      <c r="R48" s="1">
        <f t="shared" si="22"/>
        <v>11</v>
      </c>
      <c r="S48" s="1">
        <f t="shared" si="23"/>
        <v>11</v>
      </c>
      <c r="T48" s="2">
        <v>11</v>
      </c>
      <c r="U48" s="1">
        <f t="shared" ref="U48:X48" si="87">T48*1</f>
        <v>11</v>
      </c>
      <c r="V48" s="1">
        <f t="shared" si="87"/>
        <v>11</v>
      </c>
      <c r="W48" s="1">
        <f t="shared" si="87"/>
        <v>11</v>
      </c>
      <c r="X48" s="1">
        <f t="shared" si="87"/>
        <v>11</v>
      </c>
      <c r="Y48" s="2">
        <v>7</v>
      </c>
      <c r="Z48" s="1">
        <f t="shared" si="25"/>
        <v>56</v>
      </c>
      <c r="AA48" s="2"/>
      <c r="AB48" s="1">
        <f t="shared" si="26"/>
        <v>0</v>
      </c>
      <c r="AC48" s="2"/>
      <c r="AD48" s="1">
        <f t="shared" si="27"/>
        <v>0</v>
      </c>
      <c r="AE48" s="2"/>
      <c r="AF48" s="1">
        <f t="shared" si="28"/>
        <v>0</v>
      </c>
      <c r="AG48" s="1"/>
      <c r="AH48" s="1">
        <f t="shared" si="29"/>
        <v>0</v>
      </c>
      <c r="AI48" s="1">
        <f t="shared" si="30"/>
        <v>0</v>
      </c>
      <c r="AJ48" s="2"/>
      <c r="AK48" s="1">
        <f t="shared" si="31"/>
        <v>0</v>
      </c>
      <c r="AL48" s="1">
        <f t="shared" si="32"/>
        <v>0</v>
      </c>
      <c r="AM48" s="2"/>
      <c r="AN48" s="1"/>
      <c r="AO48" s="1"/>
      <c r="AP48" s="1">
        <f t="shared" si="36"/>
        <v>42</v>
      </c>
      <c r="AQ48" s="32">
        <f t="shared" si="33"/>
        <v>196</v>
      </c>
    </row>
    <row r="49" spans="2:44" hidden="1" x14ac:dyDescent="0.25">
      <c r="B49" s="10" t="s">
        <v>80</v>
      </c>
      <c r="C49" s="96">
        <v>47</v>
      </c>
      <c r="D49" s="10" t="s">
        <v>112</v>
      </c>
      <c r="E49" s="2"/>
      <c r="F49" s="1">
        <f t="shared" si="49"/>
        <v>0</v>
      </c>
      <c r="G49" s="1">
        <f t="shared" si="50"/>
        <v>0</v>
      </c>
      <c r="H49" s="1">
        <f t="shared" si="51"/>
        <v>0</v>
      </c>
      <c r="I49" s="1">
        <f t="shared" si="52"/>
        <v>0</v>
      </c>
      <c r="J49" s="2"/>
      <c r="K49" s="1">
        <f t="shared" si="61"/>
        <v>0</v>
      </c>
      <c r="L49" s="1">
        <f t="shared" si="62"/>
        <v>0</v>
      </c>
      <c r="M49" s="1">
        <f t="shared" si="63"/>
        <v>0</v>
      </c>
      <c r="N49" s="1">
        <f t="shared" si="64"/>
        <v>0</v>
      </c>
      <c r="O49" s="2"/>
      <c r="P49" s="1">
        <f t="shared" si="20"/>
        <v>0</v>
      </c>
      <c r="Q49" s="1">
        <f t="shared" si="21"/>
        <v>0</v>
      </c>
      <c r="R49" s="1">
        <f t="shared" si="22"/>
        <v>0</v>
      </c>
      <c r="S49" s="1">
        <f t="shared" si="23"/>
        <v>0</v>
      </c>
      <c r="T49" s="2">
        <v>15</v>
      </c>
      <c r="U49" s="1">
        <f t="shared" ref="U49:X49" si="88">T49*1</f>
        <v>15</v>
      </c>
      <c r="V49" s="1">
        <f t="shared" si="88"/>
        <v>15</v>
      </c>
      <c r="W49" s="1">
        <f t="shared" si="88"/>
        <v>15</v>
      </c>
      <c r="X49" s="1">
        <f t="shared" si="88"/>
        <v>15</v>
      </c>
      <c r="Y49" s="2">
        <v>23</v>
      </c>
      <c r="Z49" s="1">
        <f t="shared" si="25"/>
        <v>184</v>
      </c>
      <c r="AA49" s="2">
        <v>29</v>
      </c>
      <c r="AB49" s="1">
        <f t="shared" si="26"/>
        <v>232</v>
      </c>
      <c r="AC49" s="2">
        <v>31</v>
      </c>
      <c r="AD49" s="1">
        <f t="shared" si="27"/>
        <v>248</v>
      </c>
      <c r="AE49" s="2">
        <v>24</v>
      </c>
      <c r="AF49" s="1">
        <f t="shared" si="28"/>
        <v>192</v>
      </c>
      <c r="AG49" s="1"/>
      <c r="AH49" s="1">
        <f t="shared" si="29"/>
        <v>0</v>
      </c>
      <c r="AI49" s="1">
        <f t="shared" si="30"/>
        <v>0</v>
      </c>
      <c r="AJ49" s="2"/>
      <c r="AK49" s="1">
        <f t="shared" si="31"/>
        <v>0</v>
      </c>
      <c r="AL49" s="1">
        <f t="shared" si="32"/>
        <v>0</v>
      </c>
      <c r="AM49" s="2"/>
      <c r="AN49" s="1"/>
      <c r="AO49" s="1"/>
      <c r="AP49" s="1">
        <f t="shared" si="36"/>
        <v>122</v>
      </c>
      <c r="AQ49" s="32">
        <f t="shared" si="33"/>
        <v>916</v>
      </c>
    </row>
    <row r="50" spans="2:44" hidden="1" x14ac:dyDescent="0.25">
      <c r="B50" s="10" t="s">
        <v>80</v>
      </c>
      <c r="C50" s="96">
        <v>48</v>
      </c>
      <c r="D50" s="10" t="s">
        <v>131</v>
      </c>
      <c r="E50" s="2"/>
      <c r="F50" s="1">
        <f t="shared" si="49"/>
        <v>0</v>
      </c>
      <c r="G50" s="1">
        <f t="shared" si="50"/>
        <v>0</v>
      </c>
      <c r="H50" s="1">
        <f t="shared" si="51"/>
        <v>0</v>
      </c>
      <c r="I50" s="1">
        <f t="shared" si="52"/>
        <v>0</v>
      </c>
      <c r="J50" s="2"/>
      <c r="K50" s="1">
        <f t="shared" si="61"/>
        <v>0</v>
      </c>
      <c r="L50" s="1">
        <f t="shared" si="62"/>
        <v>0</v>
      </c>
      <c r="M50" s="1">
        <f t="shared" si="63"/>
        <v>0</v>
      </c>
      <c r="N50" s="1">
        <f t="shared" si="64"/>
        <v>0</v>
      </c>
      <c r="O50" s="2"/>
      <c r="P50" s="1">
        <f t="shared" si="20"/>
        <v>0</v>
      </c>
      <c r="Q50" s="1">
        <f t="shared" si="21"/>
        <v>0</v>
      </c>
      <c r="R50" s="1">
        <f t="shared" si="22"/>
        <v>0</v>
      </c>
      <c r="S50" s="1">
        <f t="shared" si="23"/>
        <v>0</v>
      </c>
      <c r="T50" s="2"/>
      <c r="U50" s="1">
        <f t="shared" ref="U50:X50" si="89">T50*1</f>
        <v>0</v>
      </c>
      <c r="V50" s="1">
        <f t="shared" si="89"/>
        <v>0</v>
      </c>
      <c r="W50" s="1">
        <f t="shared" si="89"/>
        <v>0</v>
      </c>
      <c r="X50" s="1">
        <f t="shared" si="89"/>
        <v>0</v>
      </c>
      <c r="Y50" s="2"/>
      <c r="Z50" s="1">
        <f t="shared" si="25"/>
        <v>0</v>
      </c>
      <c r="AA50" s="2"/>
      <c r="AB50" s="1">
        <f t="shared" si="26"/>
        <v>0</v>
      </c>
      <c r="AC50" s="2"/>
      <c r="AD50" s="1">
        <f t="shared" si="27"/>
        <v>0</v>
      </c>
      <c r="AE50" s="2">
        <v>41</v>
      </c>
      <c r="AF50" s="1">
        <f t="shared" si="28"/>
        <v>328</v>
      </c>
      <c r="AG50" s="1">
        <v>67</v>
      </c>
      <c r="AH50" s="1">
        <f t="shared" si="29"/>
        <v>536</v>
      </c>
      <c r="AI50" s="1">
        <f t="shared" si="30"/>
        <v>268</v>
      </c>
      <c r="AJ50" s="2">
        <v>58</v>
      </c>
      <c r="AK50" s="1">
        <f t="shared" si="31"/>
        <v>464</v>
      </c>
      <c r="AL50" s="1">
        <f t="shared" si="32"/>
        <v>232</v>
      </c>
      <c r="AM50" s="2"/>
      <c r="AN50" s="1"/>
      <c r="AO50" s="1"/>
      <c r="AP50" s="1">
        <f t="shared" si="36"/>
        <v>166</v>
      </c>
      <c r="AQ50" s="32">
        <f t="shared" si="33"/>
        <v>1828</v>
      </c>
    </row>
    <row r="51" spans="2:44" hidden="1" x14ac:dyDescent="0.25">
      <c r="B51" s="10" t="s">
        <v>80</v>
      </c>
      <c r="C51" s="96">
        <v>49</v>
      </c>
      <c r="D51" s="10" t="s">
        <v>114</v>
      </c>
      <c r="E51" s="2">
        <v>17</v>
      </c>
      <c r="F51" s="1">
        <f t="shared" si="49"/>
        <v>17</v>
      </c>
      <c r="G51" s="1">
        <f t="shared" si="50"/>
        <v>17</v>
      </c>
      <c r="H51" s="1">
        <f t="shared" si="51"/>
        <v>17</v>
      </c>
      <c r="I51" s="1">
        <f t="shared" si="52"/>
        <v>17</v>
      </c>
      <c r="J51" s="2">
        <v>20</v>
      </c>
      <c r="K51" s="1">
        <f t="shared" si="61"/>
        <v>20</v>
      </c>
      <c r="L51" s="1">
        <f t="shared" si="62"/>
        <v>20</v>
      </c>
      <c r="M51" s="1">
        <f t="shared" si="63"/>
        <v>20</v>
      </c>
      <c r="N51" s="1">
        <f t="shared" si="64"/>
        <v>20</v>
      </c>
      <c r="O51" s="2">
        <v>23</v>
      </c>
      <c r="P51" s="1">
        <f t="shared" si="20"/>
        <v>23</v>
      </c>
      <c r="Q51" s="1">
        <f t="shared" si="21"/>
        <v>23</v>
      </c>
      <c r="R51" s="1">
        <f t="shared" si="22"/>
        <v>23</v>
      </c>
      <c r="S51" s="1">
        <f t="shared" si="23"/>
        <v>23</v>
      </c>
      <c r="T51" s="2">
        <v>20</v>
      </c>
      <c r="U51" s="1">
        <f t="shared" ref="U51:X51" si="90">T51*1</f>
        <v>20</v>
      </c>
      <c r="V51" s="1">
        <f t="shared" si="90"/>
        <v>20</v>
      </c>
      <c r="W51" s="1">
        <f t="shared" si="90"/>
        <v>20</v>
      </c>
      <c r="X51" s="1">
        <f t="shared" si="90"/>
        <v>20</v>
      </c>
      <c r="Y51" s="2">
        <v>21</v>
      </c>
      <c r="Z51" s="1">
        <f t="shared" si="25"/>
        <v>168</v>
      </c>
      <c r="AA51" s="2">
        <v>20</v>
      </c>
      <c r="AB51" s="1">
        <f t="shared" si="26"/>
        <v>160</v>
      </c>
      <c r="AC51" s="2">
        <v>23</v>
      </c>
      <c r="AD51" s="1">
        <f t="shared" si="27"/>
        <v>184</v>
      </c>
      <c r="AE51" s="2">
        <v>23</v>
      </c>
      <c r="AF51" s="1">
        <f t="shared" si="28"/>
        <v>184</v>
      </c>
      <c r="AG51" s="1"/>
      <c r="AH51" s="1">
        <f t="shared" si="29"/>
        <v>0</v>
      </c>
      <c r="AI51" s="1">
        <f t="shared" si="30"/>
        <v>0</v>
      </c>
      <c r="AJ51" s="2"/>
      <c r="AK51" s="1">
        <f t="shared" si="31"/>
        <v>0</v>
      </c>
      <c r="AL51" s="1">
        <f t="shared" si="32"/>
        <v>0</v>
      </c>
      <c r="AM51" s="2"/>
      <c r="AN51" s="1"/>
      <c r="AO51" s="1"/>
      <c r="AP51" s="1">
        <f t="shared" si="36"/>
        <v>167</v>
      </c>
      <c r="AQ51" s="32">
        <f t="shared" si="33"/>
        <v>1016</v>
      </c>
    </row>
    <row r="52" spans="2:44" hidden="1" x14ac:dyDescent="0.25">
      <c r="B52" s="10" t="s">
        <v>80</v>
      </c>
      <c r="C52" s="96">
        <v>50</v>
      </c>
      <c r="D52" s="10" t="s">
        <v>235</v>
      </c>
      <c r="E52" s="2">
        <v>5</v>
      </c>
      <c r="F52" s="1">
        <f t="shared" si="49"/>
        <v>5</v>
      </c>
      <c r="G52" s="1">
        <f t="shared" si="50"/>
        <v>5</v>
      </c>
      <c r="H52" s="1">
        <f t="shared" si="51"/>
        <v>5</v>
      </c>
      <c r="I52" s="1">
        <f t="shared" si="52"/>
        <v>5</v>
      </c>
      <c r="J52" s="2">
        <v>18</v>
      </c>
      <c r="K52" s="1">
        <f t="shared" si="61"/>
        <v>18</v>
      </c>
      <c r="L52" s="1">
        <f t="shared" si="62"/>
        <v>18</v>
      </c>
      <c r="M52" s="1">
        <f t="shared" si="63"/>
        <v>18</v>
      </c>
      <c r="N52" s="1">
        <f t="shared" si="64"/>
        <v>18</v>
      </c>
      <c r="O52" s="2">
        <v>10</v>
      </c>
      <c r="P52" s="1">
        <f t="shared" si="20"/>
        <v>10</v>
      </c>
      <c r="Q52" s="1">
        <f t="shared" si="21"/>
        <v>10</v>
      </c>
      <c r="R52" s="1">
        <f t="shared" si="22"/>
        <v>10</v>
      </c>
      <c r="S52" s="1">
        <f t="shared" si="23"/>
        <v>10</v>
      </c>
      <c r="T52" s="2">
        <v>16</v>
      </c>
      <c r="U52" s="1">
        <f t="shared" ref="U52:X52" si="91">T52*1</f>
        <v>16</v>
      </c>
      <c r="V52" s="1">
        <f t="shared" si="91"/>
        <v>16</v>
      </c>
      <c r="W52" s="1">
        <f t="shared" si="91"/>
        <v>16</v>
      </c>
      <c r="X52" s="1">
        <f t="shared" si="91"/>
        <v>16</v>
      </c>
      <c r="Y52" s="2">
        <v>19</v>
      </c>
      <c r="Z52" s="1">
        <f t="shared" si="25"/>
        <v>152</v>
      </c>
      <c r="AA52" s="2">
        <v>39</v>
      </c>
      <c r="AB52" s="1">
        <f t="shared" si="26"/>
        <v>312</v>
      </c>
      <c r="AC52" s="2">
        <v>23</v>
      </c>
      <c r="AD52" s="1">
        <f t="shared" si="27"/>
        <v>184</v>
      </c>
      <c r="AE52" s="2">
        <v>74</v>
      </c>
      <c r="AF52" s="1">
        <f t="shared" si="28"/>
        <v>592</v>
      </c>
      <c r="AG52" s="1">
        <v>98</v>
      </c>
      <c r="AH52" s="1">
        <f t="shared" si="29"/>
        <v>784</v>
      </c>
      <c r="AI52" s="1">
        <f t="shared" si="30"/>
        <v>392</v>
      </c>
      <c r="AJ52" s="2">
        <v>78</v>
      </c>
      <c r="AK52" s="1">
        <f t="shared" si="31"/>
        <v>624</v>
      </c>
      <c r="AL52" s="1">
        <f t="shared" si="32"/>
        <v>312</v>
      </c>
      <c r="AM52" s="2"/>
      <c r="AN52" s="1"/>
      <c r="AO52" s="1"/>
      <c r="AP52" s="1">
        <f t="shared" si="36"/>
        <v>380</v>
      </c>
      <c r="AQ52" s="32">
        <f t="shared" si="33"/>
        <v>3548</v>
      </c>
    </row>
    <row r="53" spans="2:44" hidden="1" x14ac:dyDescent="0.25">
      <c r="B53" s="10" t="s">
        <v>80</v>
      </c>
      <c r="C53" s="96">
        <v>51</v>
      </c>
      <c r="D53" s="10" t="s">
        <v>116</v>
      </c>
      <c r="E53" s="2">
        <v>12</v>
      </c>
      <c r="F53" s="1">
        <f t="shared" si="49"/>
        <v>12</v>
      </c>
      <c r="G53" s="1">
        <f t="shared" si="50"/>
        <v>12</v>
      </c>
      <c r="H53" s="1">
        <f t="shared" si="51"/>
        <v>12</v>
      </c>
      <c r="I53" s="1">
        <f t="shared" si="52"/>
        <v>12</v>
      </c>
      <c r="J53" s="2">
        <v>15</v>
      </c>
      <c r="K53" s="1">
        <f t="shared" si="61"/>
        <v>15</v>
      </c>
      <c r="L53" s="1">
        <f t="shared" si="62"/>
        <v>15</v>
      </c>
      <c r="M53" s="1">
        <f t="shared" si="63"/>
        <v>15</v>
      </c>
      <c r="N53" s="1">
        <f t="shared" si="64"/>
        <v>15</v>
      </c>
      <c r="O53" s="2">
        <v>8</v>
      </c>
      <c r="P53" s="1">
        <f t="shared" si="20"/>
        <v>8</v>
      </c>
      <c r="Q53" s="1">
        <f t="shared" si="21"/>
        <v>8</v>
      </c>
      <c r="R53" s="1">
        <f t="shared" si="22"/>
        <v>8</v>
      </c>
      <c r="S53" s="1">
        <f t="shared" si="23"/>
        <v>8</v>
      </c>
      <c r="T53" s="2">
        <v>18</v>
      </c>
      <c r="U53" s="1">
        <f t="shared" ref="U53:X55" si="92">T53*1</f>
        <v>18</v>
      </c>
      <c r="V53" s="1">
        <f t="shared" si="92"/>
        <v>18</v>
      </c>
      <c r="W53" s="1">
        <f t="shared" si="92"/>
        <v>18</v>
      </c>
      <c r="X53" s="1">
        <f t="shared" si="92"/>
        <v>18</v>
      </c>
      <c r="Y53" s="2">
        <v>16</v>
      </c>
      <c r="Z53" s="1">
        <f t="shared" si="25"/>
        <v>128</v>
      </c>
      <c r="AA53" s="2">
        <v>18</v>
      </c>
      <c r="AB53" s="1">
        <f t="shared" si="26"/>
        <v>144</v>
      </c>
      <c r="AC53" s="2">
        <v>22</v>
      </c>
      <c r="AD53" s="1">
        <f t="shared" si="27"/>
        <v>176</v>
      </c>
      <c r="AE53" s="2"/>
      <c r="AF53" s="1">
        <f t="shared" si="28"/>
        <v>0</v>
      </c>
      <c r="AG53" s="1"/>
      <c r="AH53" s="1">
        <f t="shared" si="29"/>
        <v>0</v>
      </c>
      <c r="AI53" s="1">
        <f t="shared" si="30"/>
        <v>0</v>
      </c>
      <c r="AJ53" s="2"/>
      <c r="AK53" s="1">
        <f t="shared" si="31"/>
        <v>0</v>
      </c>
      <c r="AL53" s="1">
        <f t="shared" si="32"/>
        <v>0</v>
      </c>
      <c r="AM53" s="2"/>
      <c r="AN53" s="1"/>
      <c r="AO53" s="1"/>
      <c r="AP53" s="1">
        <f t="shared" si="36"/>
        <v>109</v>
      </c>
      <c r="AQ53" s="32">
        <f t="shared" si="33"/>
        <v>660</v>
      </c>
    </row>
    <row r="54" spans="2:44" x14ac:dyDescent="0.25">
      <c r="B54" s="10" t="s">
        <v>71</v>
      </c>
      <c r="C54" s="96">
        <v>52</v>
      </c>
      <c r="D54" s="64" t="s">
        <v>119</v>
      </c>
      <c r="E54" s="2">
        <v>14</v>
      </c>
      <c r="F54" s="1">
        <f t="shared" si="49"/>
        <v>14</v>
      </c>
      <c r="G54" s="1">
        <f t="shared" si="50"/>
        <v>14</v>
      </c>
      <c r="H54" s="1">
        <f t="shared" si="51"/>
        <v>14</v>
      </c>
      <c r="I54" s="1">
        <f t="shared" si="52"/>
        <v>14</v>
      </c>
      <c r="J54" s="2">
        <v>21</v>
      </c>
      <c r="K54" s="1">
        <f t="shared" si="61"/>
        <v>21</v>
      </c>
      <c r="L54" s="1">
        <f t="shared" si="62"/>
        <v>21</v>
      </c>
      <c r="M54" s="1">
        <f t="shared" si="63"/>
        <v>21</v>
      </c>
      <c r="N54" s="1">
        <f t="shared" si="64"/>
        <v>21</v>
      </c>
      <c r="O54" s="2">
        <v>17</v>
      </c>
      <c r="P54" s="1">
        <f t="shared" ref="P54:P91" si="93">O54*1</f>
        <v>17</v>
      </c>
      <c r="Q54" s="1">
        <f t="shared" ref="Q54:Q91" si="94">O54*1</f>
        <v>17</v>
      </c>
      <c r="R54" s="1">
        <f t="shared" ref="R54:R91" si="95">O54*1</f>
        <v>17</v>
      </c>
      <c r="S54" s="1">
        <f t="shared" ref="S54:S91" si="96">O54*1</f>
        <v>17</v>
      </c>
      <c r="T54" s="2">
        <v>19</v>
      </c>
      <c r="U54" s="1">
        <f t="shared" si="92"/>
        <v>19</v>
      </c>
      <c r="V54" s="1">
        <f t="shared" ref="V54:X54" si="97">U54*1</f>
        <v>19</v>
      </c>
      <c r="W54" s="1">
        <f t="shared" si="97"/>
        <v>19</v>
      </c>
      <c r="X54" s="1">
        <f t="shared" si="97"/>
        <v>19</v>
      </c>
      <c r="Y54" s="2">
        <v>24</v>
      </c>
      <c r="Z54" s="1">
        <f t="shared" si="25"/>
        <v>192</v>
      </c>
      <c r="AA54" s="2">
        <v>17</v>
      </c>
      <c r="AB54" s="1">
        <f t="shared" si="26"/>
        <v>136</v>
      </c>
      <c r="AC54" s="2">
        <v>23</v>
      </c>
      <c r="AD54" s="1">
        <f t="shared" si="27"/>
        <v>184</v>
      </c>
      <c r="AE54" s="2">
        <v>24</v>
      </c>
      <c r="AF54" s="1">
        <f t="shared" ref="AF54:AF116" si="98">AE54*8</f>
        <v>192</v>
      </c>
      <c r="AG54" s="1"/>
      <c r="AH54" s="1">
        <f t="shared" ref="AH54:AH91" si="99">AG54*8</f>
        <v>0</v>
      </c>
      <c r="AI54" s="1">
        <f t="shared" ref="AI54:AI91" si="100">AG54*4</f>
        <v>0</v>
      </c>
      <c r="AJ54" s="2"/>
      <c r="AK54" s="1">
        <f t="shared" ref="AK54:AK91" si="101">AJ54*8</f>
        <v>0</v>
      </c>
      <c r="AL54" s="1">
        <f t="shared" ref="AL54:AL91" si="102">AJ54*4</f>
        <v>0</v>
      </c>
      <c r="AM54" s="2"/>
      <c r="AN54" s="1"/>
      <c r="AO54" s="1"/>
      <c r="AP54" s="1">
        <f t="shared" si="36"/>
        <v>159</v>
      </c>
      <c r="AQ54" s="32">
        <f t="shared" si="33"/>
        <v>988</v>
      </c>
    </row>
    <row r="55" spans="2:44" x14ac:dyDescent="0.25">
      <c r="B55" s="10" t="s">
        <v>71</v>
      </c>
      <c r="C55" s="96">
        <v>53</v>
      </c>
      <c r="D55" s="10" t="s">
        <v>236</v>
      </c>
      <c r="E55" s="2">
        <v>31</v>
      </c>
      <c r="F55" s="1">
        <f t="shared" si="49"/>
        <v>31</v>
      </c>
      <c r="G55" s="1">
        <f t="shared" si="50"/>
        <v>31</v>
      </c>
      <c r="H55" s="1">
        <f t="shared" si="51"/>
        <v>31</v>
      </c>
      <c r="I55" s="1">
        <f t="shared" si="52"/>
        <v>31</v>
      </c>
      <c r="J55" s="2">
        <v>43</v>
      </c>
      <c r="K55" s="1">
        <f t="shared" si="61"/>
        <v>43</v>
      </c>
      <c r="L55" s="1">
        <f t="shared" si="62"/>
        <v>43</v>
      </c>
      <c r="M55" s="1">
        <f t="shared" si="63"/>
        <v>43</v>
      </c>
      <c r="N55" s="1">
        <f t="shared" si="64"/>
        <v>43</v>
      </c>
      <c r="O55" s="2">
        <v>35</v>
      </c>
      <c r="P55" s="1">
        <f t="shared" si="93"/>
        <v>35</v>
      </c>
      <c r="Q55" s="1">
        <f t="shared" si="94"/>
        <v>35</v>
      </c>
      <c r="R55" s="1">
        <f t="shared" si="95"/>
        <v>35</v>
      </c>
      <c r="S55" s="1">
        <f t="shared" si="96"/>
        <v>35</v>
      </c>
      <c r="T55" s="2">
        <v>40</v>
      </c>
      <c r="U55" s="1">
        <f t="shared" si="92"/>
        <v>40</v>
      </c>
      <c r="V55" s="1">
        <f t="shared" ref="V55:X55" si="103">U55*1</f>
        <v>40</v>
      </c>
      <c r="W55" s="1">
        <f t="shared" si="103"/>
        <v>40</v>
      </c>
      <c r="X55" s="1">
        <f t="shared" si="103"/>
        <v>40</v>
      </c>
      <c r="Y55" s="2">
        <v>50</v>
      </c>
      <c r="Z55" s="1">
        <f t="shared" si="25"/>
        <v>400</v>
      </c>
      <c r="AA55" s="2">
        <v>67</v>
      </c>
      <c r="AB55" s="1">
        <f t="shared" si="26"/>
        <v>536</v>
      </c>
      <c r="AC55" s="2">
        <v>47</v>
      </c>
      <c r="AD55" s="1">
        <f t="shared" si="27"/>
        <v>376</v>
      </c>
      <c r="AE55" s="2">
        <v>45</v>
      </c>
      <c r="AF55" s="1">
        <f t="shared" si="98"/>
        <v>360</v>
      </c>
      <c r="AG55" s="1"/>
      <c r="AH55" s="1">
        <f t="shared" si="99"/>
        <v>0</v>
      </c>
      <c r="AI55" s="1">
        <f t="shared" si="100"/>
        <v>0</v>
      </c>
      <c r="AJ55" s="2"/>
      <c r="AK55" s="1">
        <f t="shared" si="101"/>
        <v>0</v>
      </c>
      <c r="AL55" s="1">
        <f t="shared" si="102"/>
        <v>0</v>
      </c>
      <c r="AM55" s="2"/>
      <c r="AN55" s="1"/>
      <c r="AO55" s="1"/>
      <c r="AP55" s="1">
        <f t="shared" si="36"/>
        <v>358</v>
      </c>
      <c r="AQ55" s="32">
        <f t="shared" si="33"/>
        <v>2268</v>
      </c>
    </row>
    <row r="56" spans="2:44" hidden="1" x14ac:dyDescent="0.25">
      <c r="B56" s="10" t="s">
        <v>80</v>
      </c>
      <c r="C56" s="96">
        <v>54</v>
      </c>
      <c r="D56" s="10" t="s">
        <v>221</v>
      </c>
      <c r="E56" s="2">
        <v>2</v>
      </c>
      <c r="F56" s="1">
        <f t="shared" si="49"/>
        <v>2</v>
      </c>
      <c r="G56" s="1">
        <f t="shared" si="50"/>
        <v>2</v>
      </c>
      <c r="H56" s="1">
        <f t="shared" si="51"/>
        <v>2</v>
      </c>
      <c r="I56" s="1">
        <f t="shared" si="52"/>
        <v>2</v>
      </c>
      <c r="J56" s="2">
        <v>3</v>
      </c>
      <c r="K56" s="1">
        <f t="shared" ref="K56:K91" si="104">J56*1</f>
        <v>3</v>
      </c>
      <c r="L56" s="1">
        <f t="shared" ref="L56:L91" si="105">J56*1</f>
        <v>3</v>
      </c>
      <c r="M56" s="1">
        <f t="shared" ref="M56:M91" si="106">J56*1</f>
        <v>3</v>
      </c>
      <c r="N56" s="1">
        <f t="shared" ref="N56:N91" si="107">J56*1</f>
        <v>3</v>
      </c>
      <c r="O56" s="2">
        <v>7</v>
      </c>
      <c r="P56" s="1">
        <f t="shared" si="93"/>
        <v>7</v>
      </c>
      <c r="Q56" s="1">
        <f t="shared" si="94"/>
        <v>7</v>
      </c>
      <c r="R56" s="1">
        <f t="shared" si="95"/>
        <v>7</v>
      </c>
      <c r="S56" s="1">
        <f t="shared" si="96"/>
        <v>7</v>
      </c>
      <c r="T56" s="2">
        <v>3</v>
      </c>
      <c r="U56" s="1">
        <f t="shared" ref="U56:X56" si="108">T56*1</f>
        <v>3</v>
      </c>
      <c r="V56" s="1">
        <f t="shared" si="108"/>
        <v>3</v>
      </c>
      <c r="W56" s="1">
        <f t="shared" si="108"/>
        <v>3</v>
      </c>
      <c r="X56" s="1">
        <f t="shared" si="108"/>
        <v>3</v>
      </c>
      <c r="Y56" s="2">
        <v>9</v>
      </c>
      <c r="Z56" s="1">
        <f t="shared" ref="Z56:Z116" si="109">Y56*8</f>
        <v>72</v>
      </c>
      <c r="AA56" s="2">
        <v>5</v>
      </c>
      <c r="AB56" s="1">
        <f t="shared" ref="AB56:AB98" si="110">AA56*8</f>
        <v>40</v>
      </c>
      <c r="AC56" s="2">
        <v>10</v>
      </c>
      <c r="AD56" s="1">
        <f t="shared" ref="AD56:AD116" si="111">AC56*8</f>
        <v>80</v>
      </c>
      <c r="AE56" s="2"/>
      <c r="AF56" s="1">
        <f t="shared" si="98"/>
        <v>0</v>
      </c>
      <c r="AG56" s="1"/>
      <c r="AH56" s="1">
        <f t="shared" si="99"/>
        <v>0</v>
      </c>
      <c r="AI56" s="1">
        <f t="shared" si="100"/>
        <v>0</v>
      </c>
      <c r="AJ56" s="2"/>
      <c r="AK56" s="1">
        <f t="shared" si="101"/>
        <v>0</v>
      </c>
      <c r="AL56" s="1">
        <f t="shared" si="102"/>
        <v>0</v>
      </c>
      <c r="AM56" s="2"/>
      <c r="AN56" s="1"/>
      <c r="AO56" s="1"/>
      <c r="AP56" s="1">
        <f t="shared" si="36"/>
        <v>39</v>
      </c>
      <c r="AQ56" s="32">
        <f t="shared" si="33"/>
        <v>252</v>
      </c>
    </row>
    <row r="57" spans="2:44" hidden="1" x14ac:dyDescent="0.25">
      <c r="B57" s="10" t="s">
        <v>80</v>
      </c>
      <c r="C57" s="96">
        <v>55</v>
      </c>
      <c r="D57" s="10" t="s">
        <v>222</v>
      </c>
      <c r="E57" s="2">
        <v>1</v>
      </c>
      <c r="F57" s="1">
        <f t="shared" si="49"/>
        <v>1</v>
      </c>
      <c r="G57" s="1">
        <f t="shared" si="50"/>
        <v>1</v>
      </c>
      <c r="H57" s="1">
        <f t="shared" si="51"/>
        <v>1</v>
      </c>
      <c r="I57" s="1">
        <f t="shared" si="52"/>
        <v>1</v>
      </c>
      <c r="J57" s="2">
        <v>4</v>
      </c>
      <c r="K57" s="1">
        <f t="shared" si="104"/>
        <v>4</v>
      </c>
      <c r="L57" s="1">
        <f t="shared" si="105"/>
        <v>4</v>
      </c>
      <c r="M57" s="1">
        <f t="shared" si="106"/>
        <v>4</v>
      </c>
      <c r="N57" s="1">
        <f t="shared" si="107"/>
        <v>4</v>
      </c>
      <c r="O57" s="2">
        <v>12</v>
      </c>
      <c r="P57" s="1">
        <f t="shared" si="93"/>
        <v>12</v>
      </c>
      <c r="Q57" s="1">
        <f t="shared" si="94"/>
        <v>12</v>
      </c>
      <c r="R57" s="1">
        <f t="shared" si="95"/>
        <v>12</v>
      </c>
      <c r="S57" s="1">
        <f t="shared" si="96"/>
        <v>12</v>
      </c>
      <c r="T57" s="2">
        <v>16</v>
      </c>
      <c r="U57" s="1">
        <f t="shared" ref="U57:X57" si="112">T57*1</f>
        <v>16</v>
      </c>
      <c r="V57" s="1">
        <f t="shared" si="112"/>
        <v>16</v>
      </c>
      <c r="W57" s="1">
        <f t="shared" si="112"/>
        <v>16</v>
      </c>
      <c r="X57" s="1">
        <f t="shared" si="112"/>
        <v>16</v>
      </c>
      <c r="Y57" s="2">
        <v>9</v>
      </c>
      <c r="Z57" s="1">
        <f t="shared" si="109"/>
        <v>72</v>
      </c>
      <c r="AA57" s="2">
        <v>18</v>
      </c>
      <c r="AB57" s="1">
        <f t="shared" si="110"/>
        <v>144</v>
      </c>
      <c r="AC57" s="2">
        <v>13</v>
      </c>
      <c r="AD57" s="1">
        <f t="shared" si="111"/>
        <v>104</v>
      </c>
      <c r="AE57" s="2"/>
      <c r="AF57" s="1">
        <f t="shared" si="98"/>
        <v>0</v>
      </c>
      <c r="AG57" s="1"/>
      <c r="AH57" s="1">
        <f t="shared" si="99"/>
        <v>0</v>
      </c>
      <c r="AI57" s="1">
        <f t="shared" si="100"/>
        <v>0</v>
      </c>
      <c r="AJ57" s="2"/>
      <c r="AK57" s="1">
        <f t="shared" si="101"/>
        <v>0</v>
      </c>
      <c r="AL57" s="1">
        <f t="shared" si="102"/>
        <v>0</v>
      </c>
      <c r="AM57" s="2"/>
      <c r="AN57" s="1"/>
      <c r="AO57" s="1"/>
      <c r="AP57" s="1">
        <f t="shared" si="36"/>
        <v>73</v>
      </c>
      <c r="AQ57" s="32">
        <f t="shared" si="33"/>
        <v>452</v>
      </c>
    </row>
    <row r="58" spans="2:44" hidden="1" x14ac:dyDescent="0.25">
      <c r="B58" s="10" t="s">
        <v>80</v>
      </c>
      <c r="C58" s="96">
        <v>56</v>
      </c>
      <c r="D58" s="10" t="s">
        <v>132</v>
      </c>
      <c r="E58" s="2">
        <v>5</v>
      </c>
      <c r="F58" s="1">
        <f t="shared" si="49"/>
        <v>5</v>
      </c>
      <c r="G58" s="1">
        <f t="shared" si="50"/>
        <v>5</v>
      </c>
      <c r="H58" s="1">
        <f t="shared" si="51"/>
        <v>5</v>
      </c>
      <c r="I58" s="1">
        <f t="shared" si="52"/>
        <v>5</v>
      </c>
      <c r="J58" s="2">
        <v>17</v>
      </c>
      <c r="K58" s="1">
        <f t="shared" si="104"/>
        <v>17</v>
      </c>
      <c r="L58" s="1">
        <f t="shared" si="105"/>
        <v>17</v>
      </c>
      <c r="M58" s="1">
        <f t="shared" si="106"/>
        <v>17</v>
      </c>
      <c r="N58" s="1">
        <f t="shared" si="107"/>
        <v>17</v>
      </c>
      <c r="O58" s="2">
        <v>10</v>
      </c>
      <c r="P58" s="1">
        <f t="shared" si="93"/>
        <v>10</v>
      </c>
      <c r="Q58" s="1">
        <f t="shared" si="94"/>
        <v>10</v>
      </c>
      <c r="R58" s="1">
        <f t="shared" si="95"/>
        <v>10</v>
      </c>
      <c r="S58" s="1">
        <f t="shared" si="96"/>
        <v>10</v>
      </c>
      <c r="T58" s="2">
        <v>19</v>
      </c>
      <c r="U58" s="1">
        <f t="shared" ref="U58:X58" si="113">T58*1</f>
        <v>19</v>
      </c>
      <c r="V58" s="1">
        <f t="shared" si="113"/>
        <v>19</v>
      </c>
      <c r="W58" s="1">
        <f t="shared" si="113"/>
        <v>19</v>
      </c>
      <c r="X58" s="1">
        <f t="shared" si="113"/>
        <v>19</v>
      </c>
      <c r="Y58" s="2">
        <v>20</v>
      </c>
      <c r="Z58" s="1">
        <f t="shared" si="109"/>
        <v>160</v>
      </c>
      <c r="AA58" s="2">
        <v>33</v>
      </c>
      <c r="AB58" s="1">
        <f t="shared" si="110"/>
        <v>264</v>
      </c>
      <c r="AC58" s="2">
        <v>31</v>
      </c>
      <c r="AD58" s="1">
        <f t="shared" si="111"/>
        <v>248</v>
      </c>
      <c r="AE58" s="2"/>
      <c r="AF58" s="1">
        <f t="shared" si="98"/>
        <v>0</v>
      </c>
      <c r="AG58" s="1"/>
      <c r="AH58" s="1">
        <f t="shared" si="99"/>
        <v>0</v>
      </c>
      <c r="AI58" s="1">
        <f t="shared" si="100"/>
        <v>0</v>
      </c>
      <c r="AJ58" s="2"/>
      <c r="AK58" s="1">
        <f t="shared" si="101"/>
        <v>0</v>
      </c>
      <c r="AL58" s="1">
        <f t="shared" si="102"/>
        <v>0</v>
      </c>
      <c r="AM58" s="2"/>
      <c r="AN58" s="1"/>
      <c r="AO58" s="1"/>
      <c r="AP58" s="1">
        <f t="shared" si="36"/>
        <v>135</v>
      </c>
      <c r="AQ58" s="32">
        <f t="shared" si="33"/>
        <v>876</v>
      </c>
    </row>
    <row r="59" spans="2:44" hidden="1" x14ac:dyDescent="0.25">
      <c r="B59" s="10" t="s">
        <v>80</v>
      </c>
      <c r="C59" s="96">
        <v>57</v>
      </c>
      <c r="D59" s="10" t="s">
        <v>133</v>
      </c>
      <c r="E59" s="2">
        <v>45</v>
      </c>
      <c r="F59" s="1">
        <f t="shared" si="49"/>
        <v>45</v>
      </c>
      <c r="G59" s="1">
        <f t="shared" si="50"/>
        <v>45</v>
      </c>
      <c r="H59" s="1">
        <f t="shared" si="51"/>
        <v>45</v>
      </c>
      <c r="I59" s="1">
        <f t="shared" si="52"/>
        <v>45</v>
      </c>
      <c r="J59" s="2">
        <v>40</v>
      </c>
      <c r="K59" s="1">
        <f t="shared" si="104"/>
        <v>40</v>
      </c>
      <c r="L59" s="1">
        <f t="shared" si="105"/>
        <v>40</v>
      </c>
      <c r="M59" s="1">
        <f t="shared" si="106"/>
        <v>40</v>
      </c>
      <c r="N59" s="1">
        <f t="shared" si="107"/>
        <v>40</v>
      </c>
      <c r="O59" s="2">
        <v>30</v>
      </c>
      <c r="P59" s="1">
        <f t="shared" si="93"/>
        <v>30</v>
      </c>
      <c r="Q59" s="1">
        <f t="shared" si="94"/>
        <v>30</v>
      </c>
      <c r="R59" s="1">
        <f t="shared" si="95"/>
        <v>30</v>
      </c>
      <c r="S59" s="1">
        <f t="shared" si="96"/>
        <v>30</v>
      </c>
      <c r="T59" s="2">
        <v>40</v>
      </c>
      <c r="U59" s="1">
        <f t="shared" ref="U59:X61" si="114">T59*1</f>
        <v>40</v>
      </c>
      <c r="V59" s="1">
        <f t="shared" si="114"/>
        <v>40</v>
      </c>
      <c r="W59" s="1">
        <f t="shared" si="114"/>
        <v>40</v>
      </c>
      <c r="X59" s="1">
        <f t="shared" si="114"/>
        <v>40</v>
      </c>
      <c r="Y59" s="2">
        <v>40</v>
      </c>
      <c r="Z59" s="1">
        <f t="shared" si="109"/>
        <v>320</v>
      </c>
      <c r="AA59" s="2">
        <v>45</v>
      </c>
      <c r="AB59" s="1">
        <f t="shared" si="110"/>
        <v>360</v>
      </c>
      <c r="AC59" s="2">
        <v>40</v>
      </c>
      <c r="AD59" s="1">
        <f t="shared" si="111"/>
        <v>320</v>
      </c>
      <c r="AE59" s="2"/>
      <c r="AF59" s="1">
        <f t="shared" si="98"/>
        <v>0</v>
      </c>
      <c r="AG59" s="1"/>
      <c r="AH59" s="1">
        <f t="shared" si="99"/>
        <v>0</v>
      </c>
      <c r="AI59" s="1">
        <f t="shared" si="100"/>
        <v>0</v>
      </c>
      <c r="AJ59" s="2"/>
      <c r="AK59" s="1">
        <f t="shared" si="101"/>
        <v>0</v>
      </c>
      <c r="AL59" s="1">
        <f t="shared" si="102"/>
        <v>0</v>
      </c>
      <c r="AM59" s="2"/>
      <c r="AN59" s="1"/>
      <c r="AO59" s="1"/>
      <c r="AP59" s="1">
        <f t="shared" si="36"/>
        <v>280</v>
      </c>
      <c r="AQ59" s="32">
        <f t="shared" si="33"/>
        <v>1620</v>
      </c>
      <c r="AR59" s="1"/>
    </row>
    <row r="60" spans="2:44" x14ac:dyDescent="0.25">
      <c r="B60" s="10" t="s">
        <v>71</v>
      </c>
      <c r="C60" s="96">
        <v>58</v>
      </c>
      <c r="D60" s="10" t="s">
        <v>224</v>
      </c>
      <c r="E60" s="2">
        <v>24</v>
      </c>
      <c r="F60" s="1">
        <f>E60*1</f>
        <v>24</v>
      </c>
      <c r="G60" s="1">
        <f t="shared" si="50"/>
        <v>24</v>
      </c>
      <c r="H60" s="1">
        <f t="shared" si="51"/>
        <v>24</v>
      </c>
      <c r="I60" s="1">
        <f t="shared" si="52"/>
        <v>24</v>
      </c>
      <c r="J60" s="2">
        <v>34</v>
      </c>
      <c r="K60" s="1">
        <f t="shared" si="104"/>
        <v>34</v>
      </c>
      <c r="L60" s="1">
        <f t="shared" si="105"/>
        <v>34</v>
      </c>
      <c r="M60" s="1">
        <f t="shared" si="106"/>
        <v>34</v>
      </c>
      <c r="N60" s="1">
        <f t="shared" si="107"/>
        <v>34</v>
      </c>
      <c r="O60" s="2">
        <v>35</v>
      </c>
      <c r="P60" s="1">
        <f t="shared" si="93"/>
        <v>35</v>
      </c>
      <c r="Q60" s="1">
        <f t="shared" si="94"/>
        <v>35</v>
      </c>
      <c r="R60" s="1">
        <f t="shared" si="95"/>
        <v>35</v>
      </c>
      <c r="S60" s="1">
        <f t="shared" si="96"/>
        <v>35</v>
      </c>
      <c r="T60" s="2">
        <v>34</v>
      </c>
      <c r="U60" s="1">
        <f t="shared" si="114"/>
        <v>34</v>
      </c>
      <c r="V60" s="1">
        <f t="shared" ref="U60:X79" si="115">U60*1</f>
        <v>34</v>
      </c>
      <c r="W60" s="1">
        <f t="shared" si="115"/>
        <v>34</v>
      </c>
      <c r="X60" s="1">
        <f t="shared" si="115"/>
        <v>34</v>
      </c>
      <c r="Y60" s="2">
        <v>34</v>
      </c>
      <c r="Z60" s="1">
        <f t="shared" si="109"/>
        <v>272</v>
      </c>
      <c r="AA60" s="2">
        <v>51</v>
      </c>
      <c r="AB60" s="1">
        <f t="shared" si="110"/>
        <v>408</v>
      </c>
      <c r="AC60" s="2">
        <v>33</v>
      </c>
      <c r="AD60" s="1">
        <f t="shared" si="111"/>
        <v>264</v>
      </c>
      <c r="AE60" s="2">
        <v>49</v>
      </c>
      <c r="AF60" s="1">
        <f t="shared" si="98"/>
        <v>392</v>
      </c>
      <c r="AG60" s="1"/>
      <c r="AH60" s="1">
        <f t="shared" si="99"/>
        <v>0</v>
      </c>
      <c r="AI60" s="1">
        <f t="shared" si="100"/>
        <v>0</v>
      </c>
      <c r="AJ60" s="2"/>
      <c r="AK60" s="1">
        <f t="shared" si="101"/>
        <v>0</v>
      </c>
      <c r="AL60" s="1">
        <f t="shared" si="102"/>
        <v>0</v>
      </c>
      <c r="AM60" s="2"/>
      <c r="AN60" s="1"/>
      <c r="AO60" s="1"/>
      <c r="AP60" s="1">
        <f t="shared" si="36"/>
        <v>294</v>
      </c>
      <c r="AQ60" s="32">
        <f t="shared" si="33"/>
        <v>1844</v>
      </c>
    </row>
    <row r="61" spans="2:44" x14ac:dyDescent="0.25">
      <c r="B61" s="10" t="s">
        <v>71</v>
      </c>
      <c r="C61" s="96">
        <v>59</v>
      </c>
      <c r="D61" s="10" t="s">
        <v>237</v>
      </c>
      <c r="E61" s="2">
        <v>39</v>
      </c>
      <c r="F61" s="1">
        <f t="shared" ref="F61:F91" si="116">E61*1</f>
        <v>39</v>
      </c>
      <c r="G61" s="1">
        <f t="shared" si="50"/>
        <v>39</v>
      </c>
      <c r="H61" s="1">
        <f t="shared" si="51"/>
        <v>39</v>
      </c>
      <c r="I61" s="1">
        <f t="shared" si="52"/>
        <v>39</v>
      </c>
      <c r="J61" s="2">
        <v>47</v>
      </c>
      <c r="K61" s="1">
        <f t="shared" si="104"/>
        <v>47</v>
      </c>
      <c r="L61" s="1">
        <f t="shared" si="105"/>
        <v>47</v>
      </c>
      <c r="M61" s="1">
        <f t="shared" si="106"/>
        <v>47</v>
      </c>
      <c r="N61" s="1">
        <f t="shared" si="107"/>
        <v>47</v>
      </c>
      <c r="O61" s="2">
        <v>56</v>
      </c>
      <c r="P61" s="1">
        <f t="shared" si="93"/>
        <v>56</v>
      </c>
      <c r="Q61" s="1">
        <f t="shared" si="94"/>
        <v>56</v>
      </c>
      <c r="R61" s="1">
        <f t="shared" si="95"/>
        <v>56</v>
      </c>
      <c r="S61" s="1">
        <f t="shared" si="96"/>
        <v>56</v>
      </c>
      <c r="T61" s="2">
        <v>66</v>
      </c>
      <c r="U61" s="1">
        <f t="shared" si="114"/>
        <v>66</v>
      </c>
      <c r="V61" s="1">
        <f t="shared" si="115"/>
        <v>66</v>
      </c>
      <c r="W61" s="1">
        <f t="shared" si="115"/>
        <v>66</v>
      </c>
      <c r="X61" s="1">
        <f t="shared" si="115"/>
        <v>66</v>
      </c>
      <c r="Y61" s="2">
        <v>66</v>
      </c>
      <c r="Z61" s="1">
        <f t="shared" si="109"/>
        <v>528</v>
      </c>
      <c r="AA61" s="2">
        <v>98</v>
      </c>
      <c r="AB61" s="1">
        <f t="shared" si="110"/>
        <v>784</v>
      </c>
      <c r="AC61" s="2">
        <v>52</v>
      </c>
      <c r="AD61" s="1">
        <f t="shared" si="111"/>
        <v>416</v>
      </c>
      <c r="AE61" s="2"/>
      <c r="AF61" s="1">
        <f t="shared" si="98"/>
        <v>0</v>
      </c>
      <c r="AG61" s="1"/>
      <c r="AH61" s="1">
        <f t="shared" si="99"/>
        <v>0</v>
      </c>
      <c r="AI61" s="1">
        <f t="shared" si="100"/>
        <v>0</v>
      </c>
      <c r="AJ61" s="2"/>
      <c r="AK61" s="1">
        <f t="shared" si="101"/>
        <v>0</v>
      </c>
      <c r="AL61" s="1">
        <f t="shared" si="102"/>
        <v>0</v>
      </c>
      <c r="AM61" s="2"/>
      <c r="AN61" s="1"/>
      <c r="AO61" s="1"/>
      <c r="AP61" s="1">
        <f t="shared" si="36"/>
        <v>424</v>
      </c>
      <c r="AQ61" s="32">
        <f t="shared" si="33"/>
        <v>2560</v>
      </c>
    </row>
    <row r="62" spans="2:44" hidden="1" x14ac:dyDescent="0.25">
      <c r="B62" s="10" t="s">
        <v>80</v>
      </c>
      <c r="C62" s="96">
        <v>60</v>
      </c>
      <c r="D62" s="10" t="s">
        <v>106</v>
      </c>
      <c r="E62" s="2">
        <v>20</v>
      </c>
      <c r="F62" s="1">
        <f t="shared" si="116"/>
        <v>20</v>
      </c>
      <c r="G62" s="1">
        <f t="shared" si="50"/>
        <v>20</v>
      </c>
      <c r="H62" s="1">
        <f t="shared" si="51"/>
        <v>20</v>
      </c>
      <c r="I62" s="1">
        <f t="shared" si="52"/>
        <v>20</v>
      </c>
      <c r="J62" s="2">
        <v>48</v>
      </c>
      <c r="K62" s="1">
        <f t="shared" si="104"/>
        <v>48</v>
      </c>
      <c r="L62" s="1">
        <f t="shared" si="105"/>
        <v>48</v>
      </c>
      <c r="M62" s="1">
        <f t="shared" si="106"/>
        <v>48</v>
      </c>
      <c r="N62" s="1">
        <f t="shared" si="107"/>
        <v>48</v>
      </c>
      <c r="O62" s="2">
        <v>49</v>
      </c>
      <c r="P62" s="1">
        <f t="shared" si="93"/>
        <v>49</v>
      </c>
      <c r="Q62" s="1">
        <f t="shared" si="94"/>
        <v>49</v>
      </c>
      <c r="R62" s="1">
        <f t="shared" si="95"/>
        <v>49</v>
      </c>
      <c r="S62" s="1">
        <f t="shared" si="96"/>
        <v>49</v>
      </c>
      <c r="T62" s="2">
        <v>44</v>
      </c>
      <c r="U62" s="1">
        <f t="shared" si="115"/>
        <v>44</v>
      </c>
      <c r="V62" s="1">
        <f t="shared" si="115"/>
        <v>44</v>
      </c>
      <c r="W62" s="1">
        <f t="shared" si="115"/>
        <v>44</v>
      </c>
      <c r="X62" s="1">
        <f t="shared" si="115"/>
        <v>44</v>
      </c>
      <c r="Y62" s="2">
        <v>44</v>
      </c>
      <c r="Z62" s="1">
        <f>Y62*8</f>
        <v>352</v>
      </c>
      <c r="AA62" s="2">
        <v>64</v>
      </c>
      <c r="AB62" s="1">
        <f>AA62*8</f>
        <v>512</v>
      </c>
      <c r="AC62" s="2">
        <v>68</v>
      </c>
      <c r="AD62" s="1">
        <f>AC62*8</f>
        <v>544</v>
      </c>
      <c r="AE62" s="2">
        <v>36</v>
      </c>
      <c r="AF62" s="1">
        <f>AE62*8</f>
        <v>288</v>
      </c>
      <c r="AG62" s="1">
        <v>44</v>
      </c>
      <c r="AH62" s="1">
        <f t="shared" si="99"/>
        <v>352</v>
      </c>
      <c r="AI62" s="1">
        <f t="shared" si="100"/>
        <v>176</v>
      </c>
      <c r="AJ62" s="2">
        <v>31</v>
      </c>
      <c r="AK62" s="1">
        <f t="shared" si="101"/>
        <v>248</v>
      </c>
      <c r="AL62" s="1">
        <f t="shared" si="102"/>
        <v>124</v>
      </c>
      <c r="AM62" s="2"/>
      <c r="AN62" s="1"/>
      <c r="AO62" s="1"/>
      <c r="AP62" s="1">
        <f t="shared" si="36"/>
        <v>448</v>
      </c>
      <c r="AQ62" s="32">
        <f t="shared" si="33"/>
        <v>3240</v>
      </c>
    </row>
    <row r="63" spans="2:44" hidden="1" x14ac:dyDescent="0.25">
      <c r="B63" s="10" t="s">
        <v>80</v>
      </c>
      <c r="C63" s="96">
        <v>61</v>
      </c>
      <c r="D63" s="10" t="s">
        <v>140</v>
      </c>
      <c r="E63" s="2">
        <v>22</v>
      </c>
      <c r="F63" s="1">
        <f>E63*1</f>
        <v>22</v>
      </c>
      <c r="G63" s="1">
        <f t="shared" si="50"/>
        <v>22</v>
      </c>
      <c r="H63" s="1">
        <f t="shared" si="51"/>
        <v>22</v>
      </c>
      <c r="I63" s="1">
        <f t="shared" si="52"/>
        <v>22</v>
      </c>
      <c r="J63" s="2">
        <v>14</v>
      </c>
      <c r="K63" s="1">
        <f t="shared" si="104"/>
        <v>14</v>
      </c>
      <c r="L63" s="1">
        <f t="shared" si="105"/>
        <v>14</v>
      </c>
      <c r="M63" s="1">
        <f t="shared" si="106"/>
        <v>14</v>
      </c>
      <c r="N63" s="1">
        <f t="shared" si="107"/>
        <v>14</v>
      </c>
      <c r="O63" s="2">
        <v>14</v>
      </c>
      <c r="P63" s="1">
        <f t="shared" si="93"/>
        <v>14</v>
      </c>
      <c r="Q63" s="1">
        <f t="shared" si="94"/>
        <v>14</v>
      </c>
      <c r="R63" s="1">
        <f t="shared" si="95"/>
        <v>14</v>
      </c>
      <c r="S63" s="1">
        <f t="shared" si="96"/>
        <v>14</v>
      </c>
      <c r="T63" s="2">
        <v>16</v>
      </c>
      <c r="U63" s="1">
        <f t="shared" si="115"/>
        <v>16</v>
      </c>
      <c r="V63" s="1">
        <f t="shared" si="115"/>
        <v>16</v>
      </c>
      <c r="W63" s="1">
        <f t="shared" si="115"/>
        <v>16</v>
      </c>
      <c r="X63" s="1">
        <f t="shared" si="115"/>
        <v>16</v>
      </c>
      <c r="Y63" s="2">
        <v>23</v>
      </c>
      <c r="Z63" s="1">
        <f t="shared" si="109"/>
        <v>184</v>
      </c>
      <c r="AA63" s="2">
        <v>26</v>
      </c>
      <c r="AB63" s="1">
        <f t="shared" si="110"/>
        <v>208</v>
      </c>
      <c r="AC63" s="2">
        <v>24</v>
      </c>
      <c r="AD63" s="1">
        <f t="shared" si="111"/>
        <v>192</v>
      </c>
      <c r="AE63" s="2"/>
      <c r="AF63" s="1">
        <f t="shared" si="98"/>
        <v>0</v>
      </c>
      <c r="AG63" s="1"/>
      <c r="AH63" s="1">
        <f t="shared" si="99"/>
        <v>0</v>
      </c>
      <c r="AI63" s="1">
        <f t="shared" si="100"/>
        <v>0</v>
      </c>
      <c r="AJ63" s="2"/>
      <c r="AK63" s="1">
        <f t="shared" si="101"/>
        <v>0</v>
      </c>
      <c r="AL63" s="1">
        <f t="shared" si="102"/>
        <v>0</v>
      </c>
      <c r="AM63" s="2"/>
      <c r="AN63" s="1"/>
      <c r="AO63" s="1"/>
      <c r="AP63" s="1">
        <f t="shared" si="36"/>
        <v>139</v>
      </c>
      <c r="AQ63" s="32">
        <f t="shared" si="33"/>
        <v>848</v>
      </c>
    </row>
    <row r="64" spans="2:44" hidden="1" x14ac:dyDescent="0.25">
      <c r="B64" s="10" t="s">
        <v>80</v>
      </c>
      <c r="C64" s="96">
        <v>62</v>
      </c>
      <c r="D64" s="10" t="s">
        <v>139</v>
      </c>
      <c r="E64" s="2">
        <v>12</v>
      </c>
      <c r="F64" s="1">
        <f t="shared" si="116"/>
        <v>12</v>
      </c>
      <c r="G64" s="1">
        <f t="shared" si="50"/>
        <v>12</v>
      </c>
      <c r="H64" s="1">
        <f t="shared" si="51"/>
        <v>12</v>
      </c>
      <c r="I64" s="1">
        <f t="shared" si="52"/>
        <v>12</v>
      </c>
      <c r="J64" s="2">
        <v>14</v>
      </c>
      <c r="K64" s="1">
        <f t="shared" si="104"/>
        <v>14</v>
      </c>
      <c r="L64" s="1">
        <f t="shared" si="105"/>
        <v>14</v>
      </c>
      <c r="M64" s="1">
        <f t="shared" si="106"/>
        <v>14</v>
      </c>
      <c r="N64" s="1">
        <f t="shared" si="107"/>
        <v>14</v>
      </c>
      <c r="O64" s="2">
        <v>8</v>
      </c>
      <c r="P64" s="1">
        <f t="shared" si="93"/>
        <v>8</v>
      </c>
      <c r="Q64" s="1">
        <f t="shared" si="94"/>
        <v>8</v>
      </c>
      <c r="R64" s="1">
        <f t="shared" si="95"/>
        <v>8</v>
      </c>
      <c r="S64" s="1">
        <f t="shared" si="96"/>
        <v>8</v>
      </c>
      <c r="T64" s="2">
        <v>12</v>
      </c>
      <c r="U64" s="1">
        <f t="shared" si="115"/>
        <v>12</v>
      </c>
      <c r="V64" s="1">
        <f t="shared" si="115"/>
        <v>12</v>
      </c>
      <c r="W64" s="1">
        <f t="shared" si="115"/>
        <v>12</v>
      </c>
      <c r="X64" s="1">
        <f t="shared" si="115"/>
        <v>12</v>
      </c>
      <c r="Y64" s="2">
        <v>16</v>
      </c>
      <c r="Z64" s="1">
        <f t="shared" si="109"/>
        <v>128</v>
      </c>
      <c r="AA64" s="2">
        <v>18</v>
      </c>
      <c r="AB64" s="1">
        <f t="shared" si="110"/>
        <v>144</v>
      </c>
      <c r="AC64" s="2">
        <v>22</v>
      </c>
      <c r="AD64" s="1">
        <f t="shared" si="111"/>
        <v>176</v>
      </c>
      <c r="AE64" s="2"/>
      <c r="AF64" s="1">
        <f t="shared" si="98"/>
        <v>0</v>
      </c>
      <c r="AG64" s="1"/>
      <c r="AH64" s="1">
        <f t="shared" si="99"/>
        <v>0</v>
      </c>
      <c r="AI64" s="1">
        <f t="shared" si="100"/>
        <v>0</v>
      </c>
      <c r="AJ64" s="2"/>
      <c r="AK64" s="1">
        <f t="shared" si="101"/>
        <v>0</v>
      </c>
      <c r="AL64" s="1">
        <f t="shared" si="102"/>
        <v>0</v>
      </c>
      <c r="AM64" s="2"/>
      <c r="AN64" s="1"/>
      <c r="AO64" s="1"/>
      <c r="AP64" s="1">
        <f t="shared" si="36"/>
        <v>102</v>
      </c>
      <c r="AQ64" s="32">
        <f t="shared" si="33"/>
        <v>632</v>
      </c>
    </row>
    <row r="65" spans="1:43" hidden="1" x14ac:dyDescent="0.25">
      <c r="B65" s="10" t="s">
        <v>80</v>
      </c>
      <c r="C65" s="96">
        <v>63</v>
      </c>
      <c r="D65" s="10" t="s">
        <v>141</v>
      </c>
      <c r="E65" s="2">
        <v>16</v>
      </c>
      <c r="F65" s="1">
        <f t="shared" si="116"/>
        <v>16</v>
      </c>
      <c r="G65" s="1">
        <f t="shared" si="50"/>
        <v>16</v>
      </c>
      <c r="H65" s="1">
        <f t="shared" si="51"/>
        <v>16</v>
      </c>
      <c r="I65" s="1">
        <f t="shared" si="52"/>
        <v>16</v>
      </c>
      <c r="J65" s="2">
        <v>19</v>
      </c>
      <c r="K65" s="1">
        <f t="shared" si="104"/>
        <v>19</v>
      </c>
      <c r="L65" s="1">
        <f t="shared" si="105"/>
        <v>19</v>
      </c>
      <c r="M65" s="1">
        <f t="shared" si="106"/>
        <v>19</v>
      </c>
      <c r="N65" s="1">
        <f t="shared" si="107"/>
        <v>19</v>
      </c>
      <c r="O65" s="2">
        <v>11</v>
      </c>
      <c r="P65" s="1">
        <f t="shared" si="93"/>
        <v>11</v>
      </c>
      <c r="Q65" s="1">
        <f t="shared" si="94"/>
        <v>11</v>
      </c>
      <c r="R65" s="1">
        <f t="shared" si="95"/>
        <v>11</v>
      </c>
      <c r="S65" s="1">
        <f t="shared" si="96"/>
        <v>11</v>
      </c>
      <c r="T65" s="2">
        <v>21</v>
      </c>
      <c r="U65" s="1">
        <f t="shared" si="115"/>
        <v>21</v>
      </c>
      <c r="V65" s="1">
        <f t="shared" si="115"/>
        <v>21</v>
      </c>
      <c r="W65" s="1">
        <f t="shared" si="115"/>
        <v>21</v>
      </c>
      <c r="X65" s="1">
        <f t="shared" si="115"/>
        <v>21</v>
      </c>
      <c r="Y65" s="2">
        <v>30</v>
      </c>
      <c r="Z65" s="1">
        <f t="shared" si="109"/>
        <v>240</v>
      </c>
      <c r="AA65" s="2">
        <v>27</v>
      </c>
      <c r="AB65" s="1">
        <f t="shared" si="110"/>
        <v>216</v>
      </c>
      <c r="AC65" s="2">
        <v>32</v>
      </c>
      <c r="AD65" s="1">
        <f t="shared" si="111"/>
        <v>256</v>
      </c>
      <c r="AE65" s="2"/>
      <c r="AF65" s="1">
        <f t="shared" si="98"/>
        <v>0</v>
      </c>
      <c r="AG65" s="1"/>
      <c r="AH65" s="1">
        <f t="shared" si="99"/>
        <v>0</v>
      </c>
      <c r="AI65" s="1">
        <f t="shared" si="100"/>
        <v>0</v>
      </c>
      <c r="AJ65" s="2"/>
      <c r="AK65" s="1">
        <f t="shared" si="101"/>
        <v>0</v>
      </c>
      <c r="AL65" s="1">
        <f t="shared" si="102"/>
        <v>0</v>
      </c>
      <c r="AM65" s="2"/>
      <c r="AN65" s="1"/>
      <c r="AO65" s="1"/>
      <c r="AP65" s="1">
        <f t="shared" si="36"/>
        <v>156</v>
      </c>
      <c r="AQ65" s="32">
        <f t="shared" si="33"/>
        <v>980</v>
      </c>
    </row>
    <row r="66" spans="1:43" hidden="1" x14ac:dyDescent="0.25">
      <c r="B66" s="10" t="s">
        <v>80</v>
      </c>
      <c r="C66" s="96">
        <v>64</v>
      </c>
      <c r="D66" s="10" t="s">
        <v>152</v>
      </c>
      <c r="E66" s="2">
        <v>30</v>
      </c>
      <c r="F66" s="1">
        <f>E66*1</f>
        <v>30</v>
      </c>
      <c r="G66" s="1">
        <f t="shared" si="50"/>
        <v>30</v>
      </c>
      <c r="H66" s="1">
        <f t="shared" si="51"/>
        <v>30</v>
      </c>
      <c r="I66" s="1">
        <f t="shared" si="52"/>
        <v>30</v>
      </c>
      <c r="J66" s="2">
        <v>52</v>
      </c>
      <c r="K66" s="1">
        <f t="shared" si="104"/>
        <v>52</v>
      </c>
      <c r="L66" s="1">
        <f t="shared" si="105"/>
        <v>52</v>
      </c>
      <c r="M66" s="1">
        <f t="shared" si="106"/>
        <v>52</v>
      </c>
      <c r="N66" s="1">
        <f t="shared" si="107"/>
        <v>52</v>
      </c>
      <c r="O66" s="2">
        <v>50</v>
      </c>
      <c r="P66" s="1">
        <f t="shared" si="93"/>
        <v>50</v>
      </c>
      <c r="Q66" s="1">
        <f t="shared" si="94"/>
        <v>50</v>
      </c>
      <c r="R66" s="1">
        <f t="shared" si="95"/>
        <v>50</v>
      </c>
      <c r="S66" s="1">
        <f t="shared" si="96"/>
        <v>50</v>
      </c>
      <c r="T66" s="2">
        <v>45</v>
      </c>
      <c r="U66" s="1">
        <f t="shared" si="115"/>
        <v>45</v>
      </c>
      <c r="V66" s="1">
        <f t="shared" si="115"/>
        <v>45</v>
      </c>
      <c r="W66" s="1">
        <f t="shared" si="115"/>
        <v>45</v>
      </c>
      <c r="X66" s="1">
        <f t="shared" si="115"/>
        <v>45</v>
      </c>
      <c r="Y66" s="2">
        <v>50</v>
      </c>
      <c r="Z66" s="1">
        <f>Y66*8</f>
        <v>400</v>
      </c>
      <c r="AA66" s="2">
        <v>60</v>
      </c>
      <c r="AB66" s="1">
        <f>AA66*8</f>
        <v>480</v>
      </c>
      <c r="AC66" s="2">
        <v>72</v>
      </c>
      <c r="AD66" s="1">
        <f>AC66*8</f>
        <v>576</v>
      </c>
      <c r="AE66" s="2">
        <v>40</v>
      </c>
      <c r="AF66" s="1">
        <f t="shared" si="98"/>
        <v>320</v>
      </c>
      <c r="AG66" s="1">
        <v>50</v>
      </c>
      <c r="AH66" s="1">
        <f t="shared" si="99"/>
        <v>400</v>
      </c>
      <c r="AI66" s="1">
        <f t="shared" si="100"/>
        <v>200</v>
      </c>
      <c r="AJ66" s="2">
        <v>35</v>
      </c>
      <c r="AK66" s="1">
        <f t="shared" si="101"/>
        <v>280</v>
      </c>
      <c r="AL66" s="1">
        <f t="shared" si="102"/>
        <v>140</v>
      </c>
      <c r="AM66" s="2"/>
      <c r="AN66" s="1"/>
      <c r="AO66" s="1"/>
      <c r="AP66" s="1">
        <f t="shared" si="36"/>
        <v>484</v>
      </c>
      <c r="AQ66" s="32">
        <f t="shared" si="33"/>
        <v>3504</v>
      </c>
    </row>
    <row r="67" spans="1:43" hidden="1" x14ac:dyDescent="0.25">
      <c r="B67" s="10" t="s">
        <v>80</v>
      </c>
      <c r="C67" s="96">
        <v>65</v>
      </c>
      <c r="D67" s="10" t="s">
        <v>163</v>
      </c>
      <c r="E67" s="2">
        <v>10</v>
      </c>
      <c r="F67" s="1">
        <f t="shared" si="116"/>
        <v>10</v>
      </c>
      <c r="G67" s="1">
        <f t="shared" si="50"/>
        <v>10</v>
      </c>
      <c r="H67" s="1">
        <f t="shared" si="51"/>
        <v>10</v>
      </c>
      <c r="I67" s="1">
        <f t="shared" si="52"/>
        <v>10</v>
      </c>
      <c r="J67" s="2">
        <v>7</v>
      </c>
      <c r="K67" s="1">
        <f t="shared" si="104"/>
        <v>7</v>
      </c>
      <c r="L67" s="1">
        <f t="shared" si="105"/>
        <v>7</v>
      </c>
      <c r="M67" s="1">
        <f t="shared" si="106"/>
        <v>7</v>
      </c>
      <c r="N67" s="1">
        <f t="shared" si="107"/>
        <v>7</v>
      </c>
      <c r="O67" s="2">
        <v>8</v>
      </c>
      <c r="P67" s="1">
        <f t="shared" si="93"/>
        <v>8</v>
      </c>
      <c r="Q67" s="1">
        <f t="shared" si="94"/>
        <v>8</v>
      </c>
      <c r="R67" s="1">
        <f t="shared" si="95"/>
        <v>8</v>
      </c>
      <c r="S67" s="1">
        <f t="shared" si="96"/>
        <v>8</v>
      </c>
      <c r="T67" s="2">
        <v>9</v>
      </c>
      <c r="U67" s="1">
        <f t="shared" si="115"/>
        <v>9</v>
      </c>
      <c r="V67" s="1">
        <f t="shared" si="115"/>
        <v>9</v>
      </c>
      <c r="W67" s="1">
        <f t="shared" si="115"/>
        <v>9</v>
      </c>
      <c r="X67" s="1">
        <f t="shared" si="115"/>
        <v>9</v>
      </c>
      <c r="Y67" s="2">
        <v>4</v>
      </c>
      <c r="Z67" s="1">
        <f t="shared" si="109"/>
        <v>32</v>
      </c>
      <c r="AA67" s="2"/>
      <c r="AB67" s="1">
        <f t="shared" si="110"/>
        <v>0</v>
      </c>
      <c r="AC67" s="2"/>
      <c r="AD67" s="1">
        <f t="shared" si="111"/>
        <v>0</v>
      </c>
      <c r="AE67" s="2"/>
      <c r="AF67" s="1">
        <f t="shared" si="98"/>
        <v>0</v>
      </c>
      <c r="AG67" s="1"/>
      <c r="AH67" s="1">
        <f t="shared" si="99"/>
        <v>0</v>
      </c>
      <c r="AI67" s="1">
        <f t="shared" si="100"/>
        <v>0</v>
      </c>
      <c r="AJ67" s="2"/>
      <c r="AK67" s="1">
        <f t="shared" si="101"/>
        <v>0</v>
      </c>
      <c r="AL67" s="1">
        <f t="shared" si="102"/>
        <v>0</v>
      </c>
      <c r="AM67" s="2"/>
      <c r="AN67" s="1"/>
      <c r="AO67" s="1"/>
      <c r="AP67" s="1">
        <f t="shared" si="36"/>
        <v>38</v>
      </c>
      <c r="AQ67" s="32">
        <f t="shared" si="33"/>
        <v>168</v>
      </c>
    </row>
    <row r="68" spans="1:43" hidden="1" x14ac:dyDescent="0.25">
      <c r="B68" s="10" t="s">
        <v>80</v>
      </c>
      <c r="C68" s="96">
        <v>66</v>
      </c>
      <c r="D68" s="10" t="s">
        <v>142</v>
      </c>
      <c r="E68" s="2"/>
      <c r="F68" s="1">
        <f t="shared" si="116"/>
        <v>0</v>
      </c>
      <c r="G68" s="1">
        <f t="shared" si="50"/>
        <v>0</v>
      </c>
      <c r="H68" s="1">
        <f t="shared" si="51"/>
        <v>0</v>
      </c>
      <c r="I68" s="1">
        <f t="shared" si="52"/>
        <v>0</v>
      </c>
      <c r="J68" s="2"/>
      <c r="K68" s="1">
        <f t="shared" si="104"/>
        <v>0</v>
      </c>
      <c r="L68" s="1">
        <f t="shared" si="105"/>
        <v>0</v>
      </c>
      <c r="M68" s="1">
        <f t="shared" si="106"/>
        <v>0</v>
      </c>
      <c r="N68" s="1">
        <f t="shared" si="107"/>
        <v>0</v>
      </c>
      <c r="O68" s="2"/>
      <c r="P68" s="1">
        <f t="shared" si="93"/>
        <v>0</v>
      </c>
      <c r="Q68" s="1">
        <f t="shared" si="94"/>
        <v>0</v>
      </c>
      <c r="R68" s="1">
        <f t="shared" si="95"/>
        <v>0</v>
      </c>
      <c r="S68" s="1">
        <f t="shared" si="96"/>
        <v>0</v>
      </c>
      <c r="T68" s="2"/>
      <c r="U68" s="1">
        <f t="shared" si="115"/>
        <v>0</v>
      </c>
      <c r="V68" s="1">
        <f t="shared" si="115"/>
        <v>0</v>
      </c>
      <c r="W68" s="1">
        <f t="shared" si="115"/>
        <v>0</v>
      </c>
      <c r="X68" s="1">
        <f t="shared" si="115"/>
        <v>0</v>
      </c>
      <c r="Y68" s="2"/>
      <c r="Z68" s="1">
        <f t="shared" si="109"/>
        <v>0</v>
      </c>
      <c r="AA68" s="2"/>
      <c r="AB68" s="1">
        <f t="shared" si="110"/>
        <v>0</v>
      </c>
      <c r="AC68" s="2"/>
      <c r="AD68" s="1">
        <f t="shared" si="111"/>
        <v>0</v>
      </c>
      <c r="AE68" s="2"/>
      <c r="AF68" s="1">
        <f t="shared" si="98"/>
        <v>0</v>
      </c>
      <c r="AG68" s="1"/>
      <c r="AH68" s="1">
        <f t="shared" si="99"/>
        <v>0</v>
      </c>
      <c r="AI68" s="1">
        <f t="shared" si="100"/>
        <v>0</v>
      </c>
      <c r="AJ68" s="2"/>
      <c r="AK68" s="1">
        <f t="shared" si="101"/>
        <v>0</v>
      </c>
      <c r="AL68" s="1">
        <f t="shared" si="102"/>
        <v>0</v>
      </c>
      <c r="AM68" s="2"/>
      <c r="AN68" s="1"/>
      <c r="AO68" s="1"/>
      <c r="AP68" s="1">
        <f t="shared" ref="AP68:AP98" si="117">E68+AM68+AJ68+AG68+AE68+AC68+AA68+Y68+T68+O68+J68</f>
        <v>0</v>
      </c>
      <c r="AQ68" s="32">
        <f t="shared" ref="AQ68:AQ110" si="118">SUM(F68,G68,H68,I68,K68,L68,M68,N68,P68,Q68,R68,S68,U68,V68,W68,X68,Z68,AB68,AD68,AF68,AH68,AI68,AK68,AL68,AN68,AO68)</f>
        <v>0</v>
      </c>
    </row>
    <row r="69" spans="1:43" hidden="1" x14ac:dyDescent="0.25">
      <c r="B69" s="10" t="s">
        <v>80</v>
      </c>
      <c r="C69" s="96">
        <v>67</v>
      </c>
      <c r="D69" s="10" t="s">
        <v>153</v>
      </c>
      <c r="E69" s="2"/>
      <c r="F69" s="1">
        <f t="shared" si="116"/>
        <v>0</v>
      </c>
      <c r="G69" s="1">
        <f t="shared" si="50"/>
        <v>0</v>
      </c>
      <c r="H69" s="1">
        <f t="shared" si="51"/>
        <v>0</v>
      </c>
      <c r="I69" s="1">
        <f t="shared" si="52"/>
        <v>0</v>
      </c>
      <c r="J69" s="2"/>
      <c r="K69" s="1">
        <f t="shared" si="104"/>
        <v>0</v>
      </c>
      <c r="L69" s="1">
        <f t="shared" si="105"/>
        <v>0</v>
      </c>
      <c r="M69" s="1">
        <f t="shared" si="106"/>
        <v>0</v>
      </c>
      <c r="N69" s="1">
        <f t="shared" si="107"/>
        <v>0</v>
      </c>
      <c r="O69" s="2"/>
      <c r="P69" s="1">
        <f t="shared" si="93"/>
        <v>0</v>
      </c>
      <c r="Q69" s="1">
        <f t="shared" si="94"/>
        <v>0</v>
      </c>
      <c r="R69" s="1">
        <f t="shared" si="95"/>
        <v>0</v>
      </c>
      <c r="S69" s="1">
        <f t="shared" si="96"/>
        <v>0</v>
      </c>
      <c r="T69" s="2"/>
      <c r="U69" s="1">
        <f t="shared" si="115"/>
        <v>0</v>
      </c>
      <c r="V69" s="1">
        <f t="shared" si="115"/>
        <v>0</v>
      </c>
      <c r="W69" s="1">
        <f t="shared" si="115"/>
        <v>0</v>
      </c>
      <c r="X69" s="1">
        <f t="shared" si="115"/>
        <v>0</v>
      </c>
      <c r="Y69" s="2"/>
      <c r="Z69" s="1">
        <f t="shared" si="109"/>
        <v>0</v>
      </c>
      <c r="AA69" s="2"/>
      <c r="AB69" s="1">
        <f t="shared" si="110"/>
        <v>0</v>
      </c>
      <c r="AC69" s="2"/>
      <c r="AD69" s="1">
        <f t="shared" si="111"/>
        <v>0</v>
      </c>
      <c r="AE69" s="2"/>
      <c r="AF69" s="1">
        <f t="shared" si="98"/>
        <v>0</v>
      </c>
      <c r="AG69" s="1"/>
      <c r="AH69" s="1">
        <f t="shared" si="99"/>
        <v>0</v>
      </c>
      <c r="AI69" s="1">
        <f t="shared" si="100"/>
        <v>0</v>
      </c>
      <c r="AJ69" s="2"/>
      <c r="AK69" s="1">
        <f t="shared" si="101"/>
        <v>0</v>
      </c>
      <c r="AL69" s="1">
        <f t="shared" si="102"/>
        <v>0</v>
      </c>
      <c r="AM69" s="2"/>
      <c r="AN69" s="1"/>
      <c r="AO69" s="1"/>
      <c r="AP69" s="1">
        <f t="shared" si="117"/>
        <v>0</v>
      </c>
      <c r="AQ69" s="32">
        <f t="shared" si="118"/>
        <v>0</v>
      </c>
    </row>
    <row r="70" spans="1:43" hidden="1" x14ac:dyDescent="0.25">
      <c r="B70" s="10" t="s">
        <v>80</v>
      </c>
      <c r="C70" s="96">
        <v>68</v>
      </c>
      <c r="D70" s="10" t="s">
        <v>111</v>
      </c>
      <c r="E70" s="2">
        <v>20</v>
      </c>
      <c r="F70" s="1">
        <f t="shared" si="116"/>
        <v>20</v>
      </c>
      <c r="G70" s="1">
        <f t="shared" si="50"/>
        <v>20</v>
      </c>
      <c r="H70" s="1">
        <f t="shared" si="51"/>
        <v>20</v>
      </c>
      <c r="I70" s="1">
        <f t="shared" si="52"/>
        <v>20</v>
      </c>
      <c r="J70" s="2">
        <v>24</v>
      </c>
      <c r="K70" s="1">
        <f t="shared" si="104"/>
        <v>24</v>
      </c>
      <c r="L70" s="1">
        <f t="shared" si="105"/>
        <v>24</v>
      </c>
      <c r="M70" s="1">
        <f t="shared" si="106"/>
        <v>24</v>
      </c>
      <c r="N70" s="1">
        <f t="shared" si="107"/>
        <v>24</v>
      </c>
      <c r="O70" s="2">
        <v>34</v>
      </c>
      <c r="P70" s="1">
        <f t="shared" si="93"/>
        <v>34</v>
      </c>
      <c r="Q70" s="1">
        <f t="shared" si="94"/>
        <v>34</v>
      </c>
      <c r="R70" s="1">
        <f t="shared" si="95"/>
        <v>34</v>
      </c>
      <c r="S70" s="1">
        <f t="shared" si="96"/>
        <v>34</v>
      </c>
      <c r="T70" s="2">
        <v>33</v>
      </c>
      <c r="U70" s="1">
        <f t="shared" si="115"/>
        <v>33</v>
      </c>
      <c r="V70" s="1">
        <f t="shared" si="115"/>
        <v>33</v>
      </c>
      <c r="W70" s="1">
        <f t="shared" si="115"/>
        <v>33</v>
      </c>
      <c r="X70" s="1">
        <f t="shared" si="115"/>
        <v>33</v>
      </c>
      <c r="Y70" s="2">
        <v>40</v>
      </c>
      <c r="Z70" s="1">
        <f>Y70*8</f>
        <v>320</v>
      </c>
      <c r="AA70" s="2">
        <v>37</v>
      </c>
      <c r="AB70" s="1">
        <f t="shared" si="110"/>
        <v>296</v>
      </c>
      <c r="AC70" s="2">
        <v>27</v>
      </c>
      <c r="AD70" s="1">
        <f t="shared" si="111"/>
        <v>216</v>
      </c>
      <c r="AE70" s="2"/>
      <c r="AF70" s="1">
        <f t="shared" si="98"/>
        <v>0</v>
      </c>
      <c r="AG70" s="1"/>
      <c r="AH70" s="1">
        <f t="shared" si="99"/>
        <v>0</v>
      </c>
      <c r="AI70" s="1">
        <f t="shared" si="100"/>
        <v>0</v>
      </c>
      <c r="AJ70" s="2"/>
      <c r="AK70" s="1">
        <f t="shared" si="101"/>
        <v>0</v>
      </c>
      <c r="AL70" s="1">
        <f t="shared" si="102"/>
        <v>0</v>
      </c>
      <c r="AM70" s="2"/>
      <c r="AN70" s="1"/>
      <c r="AO70" s="1"/>
      <c r="AP70" s="1">
        <f t="shared" si="117"/>
        <v>215</v>
      </c>
      <c r="AQ70" s="32">
        <f t="shared" si="118"/>
        <v>1276</v>
      </c>
    </row>
    <row r="71" spans="1:43" hidden="1" x14ac:dyDescent="0.25">
      <c r="B71" s="10" t="s">
        <v>80</v>
      </c>
      <c r="C71" s="96">
        <v>69</v>
      </c>
      <c r="D71" s="10" t="s">
        <v>143</v>
      </c>
      <c r="E71" s="2">
        <v>15</v>
      </c>
      <c r="F71" s="1">
        <f t="shared" si="116"/>
        <v>15</v>
      </c>
      <c r="G71" s="1">
        <f t="shared" si="50"/>
        <v>15</v>
      </c>
      <c r="H71" s="1">
        <f t="shared" si="51"/>
        <v>15</v>
      </c>
      <c r="I71" s="1">
        <f t="shared" si="52"/>
        <v>15</v>
      </c>
      <c r="J71" s="2">
        <v>18</v>
      </c>
      <c r="K71" s="1">
        <f t="shared" si="104"/>
        <v>18</v>
      </c>
      <c r="L71" s="1">
        <f t="shared" si="105"/>
        <v>18</v>
      </c>
      <c r="M71" s="1">
        <f t="shared" si="106"/>
        <v>18</v>
      </c>
      <c r="N71" s="1">
        <f t="shared" si="107"/>
        <v>18</v>
      </c>
      <c r="O71" s="2">
        <v>28</v>
      </c>
      <c r="P71" s="1">
        <f t="shared" si="93"/>
        <v>28</v>
      </c>
      <c r="Q71" s="1">
        <f t="shared" si="94"/>
        <v>28</v>
      </c>
      <c r="R71" s="1">
        <f t="shared" si="95"/>
        <v>28</v>
      </c>
      <c r="S71" s="1">
        <f t="shared" si="96"/>
        <v>28</v>
      </c>
      <c r="T71" s="2">
        <v>23</v>
      </c>
      <c r="U71" s="1">
        <f t="shared" si="115"/>
        <v>23</v>
      </c>
      <c r="V71" s="1">
        <f t="shared" si="115"/>
        <v>23</v>
      </c>
      <c r="W71" s="1">
        <f t="shared" si="115"/>
        <v>23</v>
      </c>
      <c r="X71" s="1">
        <f t="shared" si="115"/>
        <v>23</v>
      </c>
      <c r="Y71" s="2"/>
      <c r="Z71" s="1">
        <f t="shared" si="109"/>
        <v>0</v>
      </c>
      <c r="AA71" s="2"/>
      <c r="AB71" s="1">
        <f t="shared" si="110"/>
        <v>0</v>
      </c>
      <c r="AC71" s="2"/>
      <c r="AD71" s="1">
        <f t="shared" si="111"/>
        <v>0</v>
      </c>
      <c r="AE71" s="2"/>
      <c r="AF71" s="1">
        <f t="shared" si="98"/>
        <v>0</v>
      </c>
      <c r="AG71" s="1"/>
      <c r="AH71" s="1">
        <f t="shared" si="99"/>
        <v>0</v>
      </c>
      <c r="AI71" s="1">
        <f t="shared" si="100"/>
        <v>0</v>
      </c>
      <c r="AJ71" s="2"/>
      <c r="AK71" s="1">
        <f t="shared" si="101"/>
        <v>0</v>
      </c>
      <c r="AL71" s="1">
        <f t="shared" si="102"/>
        <v>0</v>
      </c>
      <c r="AM71" s="2"/>
      <c r="AN71" s="1"/>
      <c r="AO71" s="1"/>
      <c r="AP71" s="1">
        <f t="shared" si="117"/>
        <v>84</v>
      </c>
      <c r="AQ71" s="32">
        <f t="shared" si="118"/>
        <v>336</v>
      </c>
    </row>
    <row r="72" spans="1:43" hidden="1" x14ac:dyDescent="0.25">
      <c r="B72" s="10" t="s">
        <v>80</v>
      </c>
      <c r="C72" s="96">
        <v>70</v>
      </c>
      <c r="D72" s="10" t="s">
        <v>144</v>
      </c>
      <c r="E72" s="2">
        <v>24</v>
      </c>
      <c r="F72" s="1">
        <f t="shared" si="116"/>
        <v>24</v>
      </c>
      <c r="G72" s="1">
        <f t="shared" si="50"/>
        <v>24</v>
      </c>
      <c r="H72" s="1">
        <f t="shared" si="51"/>
        <v>24</v>
      </c>
      <c r="I72" s="1">
        <f t="shared" si="52"/>
        <v>24</v>
      </c>
      <c r="J72" s="2">
        <v>28</v>
      </c>
      <c r="K72" s="1">
        <f t="shared" si="104"/>
        <v>28</v>
      </c>
      <c r="L72" s="1">
        <f t="shared" si="105"/>
        <v>28</v>
      </c>
      <c r="M72" s="1">
        <f t="shared" si="106"/>
        <v>28</v>
      </c>
      <c r="N72" s="1">
        <f t="shared" si="107"/>
        <v>28</v>
      </c>
      <c r="O72" s="2">
        <v>30</v>
      </c>
      <c r="P72" s="1">
        <f t="shared" si="93"/>
        <v>30</v>
      </c>
      <c r="Q72" s="1">
        <f t="shared" si="94"/>
        <v>30</v>
      </c>
      <c r="R72" s="1">
        <f t="shared" si="95"/>
        <v>30</v>
      </c>
      <c r="S72" s="1">
        <f t="shared" si="96"/>
        <v>30</v>
      </c>
      <c r="T72" s="2">
        <v>22</v>
      </c>
      <c r="U72" s="1">
        <f t="shared" si="115"/>
        <v>22</v>
      </c>
      <c r="V72" s="1">
        <f t="shared" si="115"/>
        <v>22</v>
      </c>
      <c r="W72" s="1">
        <f t="shared" si="115"/>
        <v>22</v>
      </c>
      <c r="X72" s="1">
        <f t="shared" si="115"/>
        <v>22</v>
      </c>
      <c r="Y72" s="2">
        <v>24</v>
      </c>
      <c r="Z72" s="1">
        <f t="shared" si="109"/>
        <v>192</v>
      </c>
      <c r="AA72" s="2">
        <v>40</v>
      </c>
      <c r="AB72" s="1">
        <f t="shared" si="110"/>
        <v>320</v>
      </c>
      <c r="AC72" s="2">
        <v>35</v>
      </c>
      <c r="AD72" s="1">
        <f t="shared" si="111"/>
        <v>280</v>
      </c>
      <c r="AE72" s="2">
        <v>33</v>
      </c>
      <c r="AF72" s="1">
        <f t="shared" si="98"/>
        <v>264</v>
      </c>
      <c r="AG72" s="1"/>
      <c r="AH72" s="1">
        <f t="shared" si="99"/>
        <v>0</v>
      </c>
      <c r="AI72" s="1">
        <f t="shared" si="100"/>
        <v>0</v>
      </c>
      <c r="AJ72" s="2"/>
      <c r="AK72" s="1">
        <f t="shared" si="101"/>
        <v>0</v>
      </c>
      <c r="AL72" s="1">
        <f t="shared" si="102"/>
        <v>0</v>
      </c>
      <c r="AM72" s="2"/>
      <c r="AN72" s="1"/>
      <c r="AO72" s="1"/>
      <c r="AP72" s="1">
        <f t="shared" si="117"/>
        <v>236</v>
      </c>
      <c r="AQ72" s="32">
        <f t="shared" si="118"/>
        <v>1472</v>
      </c>
    </row>
    <row r="73" spans="1:43" hidden="1" x14ac:dyDescent="0.25">
      <c r="B73" s="10" t="s">
        <v>80</v>
      </c>
      <c r="C73" s="96">
        <v>71</v>
      </c>
      <c r="D73" s="10" t="s">
        <v>145</v>
      </c>
      <c r="E73" s="2"/>
      <c r="F73" s="1">
        <f t="shared" si="116"/>
        <v>0</v>
      </c>
      <c r="G73" s="1">
        <f t="shared" si="50"/>
        <v>0</v>
      </c>
      <c r="H73" s="1">
        <f t="shared" si="51"/>
        <v>0</v>
      </c>
      <c r="I73" s="1">
        <f t="shared" si="52"/>
        <v>0</v>
      </c>
      <c r="J73" s="2"/>
      <c r="K73" s="1">
        <f t="shared" si="104"/>
        <v>0</v>
      </c>
      <c r="L73" s="1">
        <f t="shared" si="105"/>
        <v>0</v>
      </c>
      <c r="M73" s="1">
        <f t="shared" si="106"/>
        <v>0</v>
      </c>
      <c r="N73" s="1">
        <f t="shared" si="107"/>
        <v>0</v>
      </c>
      <c r="O73" s="2"/>
      <c r="P73" s="1">
        <f t="shared" si="93"/>
        <v>0</v>
      </c>
      <c r="Q73" s="1">
        <f t="shared" si="94"/>
        <v>0</v>
      </c>
      <c r="R73" s="1">
        <f t="shared" si="95"/>
        <v>0</v>
      </c>
      <c r="S73" s="1">
        <f t="shared" si="96"/>
        <v>0</v>
      </c>
      <c r="T73" s="2">
        <v>19</v>
      </c>
      <c r="U73" s="1">
        <f t="shared" si="115"/>
        <v>19</v>
      </c>
      <c r="V73" s="1">
        <f t="shared" si="115"/>
        <v>19</v>
      </c>
      <c r="W73" s="1">
        <f t="shared" si="115"/>
        <v>19</v>
      </c>
      <c r="X73" s="1">
        <f t="shared" si="115"/>
        <v>19</v>
      </c>
      <c r="Y73" s="2">
        <v>30</v>
      </c>
      <c r="Z73" s="1">
        <f t="shared" si="109"/>
        <v>240</v>
      </c>
      <c r="AA73" s="2">
        <v>38</v>
      </c>
      <c r="AB73" s="1">
        <f t="shared" si="110"/>
        <v>304</v>
      </c>
      <c r="AC73" s="2">
        <v>34</v>
      </c>
      <c r="AD73" s="1">
        <f t="shared" si="111"/>
        <v>272</v>
      </c>
      <c r="AE73" s="2">
        <v>30</v>
      </c>
      <c r="AF73" s="1">
        <f t="shared" si="98"/>
        <v>240</v>
      </c>
      <c r="AG73" s="1"/>
      <c r="AH73" s="1">
        <f t="shared" si="99"/>
        <v>0</v>
      </c>
      <c r="AI73" s="1">
        <f t="shared" si="100"/>
        <v>0</v>
      </c>
      <c r="AJ73" s="2"/>
      <c r="AK73" s="1">
        <f t="shared" si="101"/>
        <v>0</v>
      </c>
      <c r="AL73" s="1">
        <f t="shared" si="102"/>
        <v>0</v>
      </c>
      <c r="AM73" s="2"/>
      <c r="AN73" s="1"/>
      <c r="AO73" s="1"/>
      <c r="AP73" s="1">
        <f t="shared" si="117"/>
        <v>151</v>
      </c>
      <c r="AQ73" s="32">
        <f t="shared" si="118"/>
        <v>1132</v>
      </c>
    </row>
    <row r="74" spans="1:43" hidden="1" x14ac:dyDescent="0.25">
      <c r="A74" t="s">
        <v>146</v>
      </c>
      <c r="B74" s="10" t="s">
        <v>80</v>
      </c>
      <c r="C74" s="96">
        <v>72</v>
      </c>
      <c r="D74" s="10" t="s">
        <v>147</v>
      </c>
      <c r="E74" s="2">
        <v>5</v>
      </c>
      <c r="F74" s="1">
        <f t="shared" si="116"/>
        <v>5</v>
      </c>
      <c r="G74" s="1">
        <f t="shared" si="50"/>
        <v>5</v>
      </c>
      <c r="H74" s="1">
        <f t="shared" si="51"/>
        <v>5</v>
      </c>
      <c r="I74" s="1">
        <f t="shared" si="52"/>
        <v>5</v>
      </c>
      <c r="J74" s="2">
        <v>15</v>
      </c>
      <c r="K74" s="1">
        <f t="shared" si="104"/>
        <v>15</v>
      </c>
      <c r="L74" s="1">
        <f t="shared" si="105"/>
        <v>15</v>
      </c>
      <c r="M74" s="1">
        <f t="shared" si="106"/>
        <v>15</v>
      </c>
      <c r="N74" s="1">
        <f t="shared" si="107"/>
        <v>15</v>
      </c>
      <c r="O74" s="2">
        <v>23</v>
      </c>
      <c r="P74" s="1">
        <f t="shared" si="93"/>
        <v>23</v>
      </c>
      <c r="Q74" s="1">
        <f t="shared" si="94"/>
        <v>23</v>
      </c>
      <c r="R74" s="1">
        <f t="shared" si="95"/>
        <v>23</v>
      </c>
      <c r="S74" s="1">
        <f t="shared" si="96"/>
        <v>23</v>
      </c>
      <c r="T74" s="2">
        <v>31</v>
      </c>
      <c r="U74" s="1">
        <f t="shared" si="115"/>
        <v>31</v>
      </c>
      <c r="V74" s="1">
        <f t="shared" si="115"/>
        <v>31</v>
      </c>
      <c r="W74" s="1">
        <f t="shared" si="115"/>
        <v>31</v>
      </c>
      <c r="X74" s="1">
        <f t="shared" si="115"/>
        <v>31</v>
      </c>
      <c r="Y74" s="2">
        <v>26</v>
      </c>
      <c r="Z74" s="1">
        <f t="shared" si="109"/>
        <v>208</v>
      </c>
      <c r="AA74" s="2">
        <v>38</v>
      </c>
      <c r="AB74" s="1">
        <f t="shared" si="110"/>
        <v>304</v>
      </c>
      <c r="AC74" s="2">
        <v>35</v>
      </c>
      <c r="AD74" s="1">
        <f t="shared" si="111"/>
        <v>280</v>
      </c>
      <c r="AE74" s="2">
        <v>40</v>
      </c>
      <c r="AF74" s="1">
        <f t="shared" si="98"/>
        <v>320</v>
      </c>
      <c r="AG74" s="1">
        <v>40</v>
      </c>
      <c r="AH74" s="1">
        <f t="shared" si="99"/>
        <v>320</v>
      </c>
      <c r="AI74" s="1">
        <f t="shared" si="100"/>
        <v>160</v>
      </c>
      <c r="AJ74" s="2">
        <v>19</v>
      </c>
      <c r="AK74" s="1">
        <f t="shared" si="101"/>
        <v>152</v>
      </c>
      <c r="AL74" s="1">
        <f t="shared" si="102"/>
        <v>76</v>
      </c>
      <c r="AM74" s="2"/>
      <c r="AN74" s="1"/>
      <c r="AO74" s="1"/>
      <c r="AP74" s="1">
        <f t="shared" si="117"/>
        <v>272</v>
      </c>
      <c r="AQ74" s="32">
        <f t="shared" si="118"/>
        <v>2116</v>
      </c>
    </row>
    <row r="75" spans="1:43" hidden="1" x14ac:dyDescent="0.25">
      <c r="B75" s="10" t="s">
        <v>80</v>
      </c>
      <c r="C75" s="96">
        <v>73</v>
      </c>
      <c r="D75" s="10" t="s">
        <v>148</v>
      </c>
      <c r="E75" s="2"/>
      <c r="F75" s="1">
        <f t="shared" si="116"/>
        <v>0</v>
      </c>
      <c r="G75" s="1">
        <f>E75*1</f>
        <v>0</v>
      </c>
      <c r="H75" s="1">
        <f t="shared" si="51"/>
        <v>0</v>
      </c>
      <c r="I75" s="1">
        <f t="shared" si="52"/>
        <v>0</v>
      </c>
      <c r="J75" s="2"/>
      <c r="K75" s="1">
        <f t="shared" si="104"/>
        <v>0</v>
      </c>
      <c r="L75" s="1">
        <f t="shared" si="105"/>
        <v>0</v>
      </c>
      <c r="M75" s="1">
        <f t="shared" si="106"/>
        <v>0</v>
      </c>
      <c r="N75" s="1">
        <f t="shared" si="107"/>
        <v>0</v>
      </c>
      <c r="O75" s="2"/>
      <c r="P75" s="1">
        <f t="shared" si="93"/>
        <v>0</v>
      </c>
      <c r="Q75" s="1">
        <f t="shared" si="94"/>
        <v>0</v>
      </c>
      <c r="R75" s="1">
        <f t="shared" si="95"/>
        <v>0</v>
      </c>
      <c r="S75" s="1">
        <f t="shared" si="96"/>
        <v>0</v>
      </c>
      <c r="T75" s="2">
        <v>19</v>
      </c>
      <c r="U75" s="1">
        <f t="shared" si="115"/>
        <v>19</v>
      </c>
      <c r="V75" s="1">
        <f t="shared" si="115"/>
        <v>19</v>
      </c>
      <c r="W75" s="1">
        <f t="shared" si="115"/>
        <v>19</v>
      </c>
      <c r="X75" s="1">
        <f t="shared" si="115"/>
        <v>19</v>
      </c>
      <c r="Y75" s="2">
        <v>22</v>
      </c>
      <c r="Z75" s="1">
        <f t="shared" si="109"/>
        <v>176</v>
      </c>
      <c r="AA75" s="2">
        <v>28</v>
      </c>
      <c r="AB75" s="1">
        <f t="shared" si="110"/>
        <v>224</v>
      </c>
      <c r="AC75" s="2">
        <v>28</v>
      </c>
      <c r="AD75" s="1">
        <f t="shared" si="111"/>
        <v>224</v>
      </c>
      <c r="AE75" s="2">
        <v>39</v>
      </c>
      <c r="AF75" s="1">
        <f t="shared" si="98"/>
        <v>312</v>
      </c>
      <c r="AG75" s="1"/>
      <c r="AH75" s="1">
        <f t="shared" si="99"/>
        <v>0</v>
      </c>
      <c r="AI75" s="1">
        <f t="shared" si="100"/>
        <v>0</v>
      </c>
      <c r="AJ75" s="2"/>
      <c r="AK75" s="1">
        <f t="shared" si="101"/>
        <v>0</v>
      </c>
      <c r="AL75" s="1">
        <f t="shared" si="102"/>
        <v>0</v>
      </c>
      <c r="AM75" s="2"/>
      <c r="AN75" s="1"/>
      <c r="AO75" s="1"/>
      <c r="AP75" s="1">
        <f t="shared" si="117"/>
        <v>136</v>
      </c>
      <c r="AQ75" s="32">
        <f t="shared" si="118"/>
        <v>1012</v>
      </c>
    </row>
    <row r="76" spans="1:43" hidden="1" x14ac:dyDescent="0.25">
      <c r="B76" s="10" t="s">
        <v>80</v>
      </c>
      <c r="C76" s="96">
        <v>74</v>
      </c>
      <c r="D76" s="10" t="s">
        <v>149</v>
      </c>
      <c r="E76" s="2"/>
      <c r="F76" s="1">
        <f t="shared" si="116"/>
        <v>0</v>
      </c>
      <c r="G76" s="1">
        <f t="shared" ref="G76:G91" si="119">E76*1</f>
        <v>0</v>
      </c>
      <c r="H76" s="1">
        <f t="shared" si="51"/>
        <v>0</v>
      </c>
      <c r="I76" s="1">
        <f t="shared" si="52"/>
        <v>0</v>
      </c>
      <c r="J76" s="2"/>
      <c r="K76" s="1">
        <f t="shared" si="104"/>
        <v>0</v>
      </c>
      <c r="L76" s="1">
        <f t="shared" si="105"/>
        <v>0</v>
      </c>
      <c r="M76" s="1">
        <f t="shared" si="106"/>
        <v>0</v>
      </c>
      <c r="N76" s="1">
        <f t="shared" si="107"/>
        <v>0</v>
      </c>
      <c r="O76" s="2"/>
      <c r="P76" s="1">
        <f t="shared" si="93"/>
        <v>0</v>
      </c>
      <c r="Q76" s="1">
        <f t="shared" si="94"/>
        <v>0</v>
      </c>
      <c r="R76" s="1">
        <f t="shared" si="95"/>
        <v>0</v>
      </c>
      <c r="S76" s="1">
        <f t="shared" si="96"/>
        <v>0</v>
      </c>
      <c r="T76" s="2">
        <v>45</v>
      </c>
      <c r="U76" s="1">
        <f t="shared" ref="U76:X76" si="120">T76*1</f>
        <v>45</v>
      </c>
      <c r="V76" s="1">
        <f t="shared" si="120"/>
        <v>45</v>
      </c>
      <c r="W76" s="1">
        <f t="shared" si="120"/>
        <v>45</v>
      </c>
      <c r="X76" s="1">
        <f t="shared" si="120"/>
        <v>45</v>
      </c>
      <c r="Y76" s="2">
        <v>31</v>
      </c>
      <c r="Z76" s="1">
        <f t="shared" si="109"/>
        <v>248</v>
      </c>
      <c r="AA76" s="2">
        <v>49</v>
      </c>
      <c r="AB76" s="1">
        <f t="shared" si="110"/>
        <v>392</v>
      </c>
      <c r="AC76" s="2">
        <v>23</v>
      </c>
      <c r="AD76" s="1">
        <f t="shared" si="111"/>
        <v>184</v>
      </c>
      <c r="AE76" s="2">
        <v>21</v>
      </c>
      <c r="AF76" s="1">
        <f t="shared" si="98"/>
        <v>168</v>
      </c>
      <c r="AG76" s="1"/>
      <c r="AH76" s="1">
        <f t="shared" si="99"/>
        <v>0</v>
      </c>
      <c r="AI76" s="1">
        <f t="shared" si="100"/>
        <v>0</v>
      </c>
      <c r="AJ76" s="2"/>
      <c r="AK76" s="1">
        <f t="shared" si="101"/>
        <v>0</v>
      </c>
      <c r="AL76" s="1">
        <f t="shared" si="102"/>
        <v>0</v>
      </c>
      <c r="AM76" s="2"/>
      <c r="AN76" s="1"/>
      <c r="AO76" s="1"/>
      <c r="AP76" s="1">
        <f t="shared" si="117"/>
        <v>169</v>
      </c>
      <c r="AQ76" s="32">
        <f t="shared" si="118"/>
        <v>1172</v>
      </c>
    </row>
    <row r="77" spans="1:43" hidden="1" x14ac:dyDescent="0.25">
      <c r="B77" s="10" t="s">
        <v>80</v>
      </c>
      <c r="C77" s="96">
        <v>75</v>
      </c>
      <c r="D77" s="10" t="s">
        <v>223</v>
      </c>
      <c r="E77" s="2">
        <v>10</v>
      </c>
      <c r="F77" s="1">
        <f t="shared" si="116"/>
        <v>10</v>
      </c>
      <c r="G77" s="1">
        <f t="shared" si="119"/>
        <v>10</v>
      </c>
      <c r="H77" s="1">
        <f t="shared" si="51"/>
        <v>10</v>
      </c>
      <c r="I77" s="1">
        <f t="shared" si="52"/>
        <v>10</v>
      </c>
      <c r="J77" s="2">
        <v>5</v>
      </c>
      <c r="K77" s="1">
        <f t="shared" si="104"/>
        <v>5</v>
      </c>
      <c r="L77" s="1">
        <f t="shared" si="105"/>
        <v>5</v>
      </c>
      <c r="M77" s="1">
        <f t="shared" si="106"/>
        <v>5</v>
      </c>
      <c r="N77" s="1">
        <f t="shared" si="107"/>
        <v>5</v>
      </c>
      <c r="O77" s="2">
        <v>7</v>
      </c>
      <c r="P77" s="1">
        <f t="shared" si="93"/>
        <v>7</v>
      </c>
      <c r="Q77" s="1">
        <f t="shared" si="94"/>
        <v>7</v>
      </c>
      <c r="R77" s="1">
        <f t="shared" si="95"/>
        <v>7</v>
      </c>
      <c r="S77" s="1">
        <f t="shared" si="96"/>
        <v>7</v>
      </c>
      <c r="T77" s="2">
        <v>5</v>
      </c>
      <c r="U77" s="1">
        <f t="shared" si="115"/>
        <v>5</v>
      </c>
      <c r="V77" s="1">
        <f t="shared" si="115"/>
        <v>5</v>
      </c>
      <c r="W77" s="1">
        <f t="shared" si="115"/>
        <v>5</v>
      </c>
      <c r="X77" s="1">
        <f t="shared" si="115"/>
        <v>5</v>
      </c>
      <c r="Y77" s="2">
        <v>4</v>
      </c>
      <c r="Z77" s="1">
        <f t="shared" si="109"/>
        <v>32</v>
      </c>
      <c r="AA77" s="2">
        <v>17</v>
      </c>
      <c r="AB77" s="1">
        <f t="shared" si="110"/>
        <v>136</v>
      </c>
      <c r="AC77" s="2">
        <v>8</v>
      </c>
      <c r="AD77" s="1">
        <f t="shared" si="111"/>
        <v>64</v>
      </c>
      <c r="AE77" s="2">
        <v>16</v>
      </c>
      <c r="AF77" s="1">
        <f t="shared" si="98"/>
        <v>128</v>
      </c>
      <c r="AG77" s="1"/>
      <c r="AH77" s="1">
        <f t="shared" si="99"/>
        <v>0</v>
      </c>
      <c r="AI77" s="1">
        <f t="shared" si="100"/>
        <v>0</v>
      </c>
      <c r="AJ77" s="2"/>
      <c r="AK77" s="1">
        <f t="shared" si="101"/>
        <v>0</v>
      </c>
      <c r="AL77" s="1">
        <f t="shared" si="102"/>
        <v>0</v>
      </c>
      <c r="AM77" s="2"/>
      <c r="AN77" s="1"/>
      <c r="AO77" s="1"/>
      <c r="AP77" s="1">
        <f t="shared" si="117"/>
        <v>72</v>
      </c>
      <c r="AQ77" s="32">
        <f t="shared" si="118"/>
        <v>468</v>
      </c>
    </row>
    <row r="78" spans="1:43" hidden="1" x14ac:dyDescent="0.25">
      <c r="B78" s="10" t="s">
        <v>80</v>
      </c>
      <c r="C78" s="96">
        <v>76</v>
      </c>
      <c r="D78" s="10" t="s">
        <v>151</v>
      </c>
      <c r="E78" s="2">
        <v>12</v>
      </c>
      <c r="F78" s="1">
        <f t="shared" si="116"/>
        <v>12</v>
      </c>
      <c r="G78" s="1">
        <f t="shared" si="119"/>
        <v>12</v>
      </c>
      <c r="H78" s="1">
        <f t="shared" si="51"/>
        <v>12</v>
      </c>
      <c r="I78" s="1">
        <f t="shared" si="52"/>
        <v>12</v>
      </c>
      <c r="J78" s="2">
        <v>21</v>
      </c>
      <c r="K78" s="1">
        <f t="shared" si="104"/>
        <v>21</v>
      </c>
      <c r="L78" s="1">
        <f t="shared" si="105"/>
        <v>21</v>
      </c>
      <c r="M78" s="1">
        <f t="shared" si="106"/>
        <v>21</v>
      </c>
      <c r="N78" s="1">
        <f t="shared" si="107"/>
        <v>21</v>
      </c>
      <c r="O78" s="2">
        <v>20</v>
      </c>
      <c r="P78" s="1">
        <f t="shared" si="93"/>
        <v>20</v>
      </c>
      <c r="Q78" s="1">
        <f t="shared" si="94"/>
        <v>20</v>
      </c>
      <c r="R78" s="1">
        <f t="shared" si="95"/>
        <v>20</v>
      </c>
      <c r="S78" s="1">
        <f t="shared" si="96"/>
        <v>20</v>
      </c>
      <c r="T78" s="2">
        <v>34</v>
      </c>
      <c r="U78" s="1">
        <f t="shared" ref="U78:X91" si="121">T78*1</f>
        <v>34</v>
      </c>
      <c r="V78" s="1">
        <f t="shared" si="121"/>
        <v>34</v>
      </c>
      <c r="W78" s="1">
        <f t="shared" si="115"/>
        <v>34</v>
      </c>
      <c r="X78" s="1">
        <f t="shared" si="115"/>
        <v>34</v>
      </c>
      <c r="Y78" s="2">
        <v>20</v>
      </c>
      <c r="Z78" s="1">
        <f t="shared" si="109"/>
        <v>160</v>
      </c>
      <c r="AA78" s="2">
        <v>17</v>
      </c>
      <c r="AB78" s="1">
        <f t="shared" si="110"/>
        <v>136</v>
      </c>
      <c r="AC78" s="2">
        <v>17</v>
      </c>
      <c r="AD78" s="1">
        <f t="shared" si="111"/>
        <v>136</v>
      </c>
      <c r="AE78" s="2"/>
      <c r="AF78" s="1">
        <f t="shared" si="98"/>
        <v>0</v>
      </c>
      <c r="AG78" s="1"/>
      <c r="AH78" s="1">
        <f t="shared" si="99"/>
        <v>0</v>
      </c>
      <c r="AI78" s="1">
        <f t="shared" si="100"/>
        <v>0</v>
      </c>
      <c r="AJ78" s="2"/>
      <c r="AK78" s="1">
        <f t="shared" si="101"/>
        <v>0</v>
      </c>
      <c r="AL78" s="1">
        <f t="shared" si="102"/>
        <v>0</v>
      </c>
      <c r="AM78" s="2"/>
      <c r="AN78" s="1"/>
      <c r="AO78" s="1"/>
      <c r="AP78" s="1">
        <f t="shared" si="117"/>
        <v>141</v>
      </c>
      <c r="AQ78" s="32">
        <f t="shared" si="118"/>
        <v>780</v>
      </c>
    </row>
    <row r="79" spans="1:43" hidden="1" x14ac:dyDescent="0.25">
      <c r="B79" s="10" t="s">
        <v>80</v>
      </c>
      <c r="C79" s="96">
        <v>77</v>
      </c>
      <c r="D79" s="10" t="s">
        <v>154</v>
      </c>
      <c r="E79" s="2">
        <v>7</v>
      </c>
      <c r="F79" s="1">
        <f t="shared" si="116"/>
        <v>7</v>
      </c>
      <c r="G79" s="1">
        <f t="shared" si="119"/>
        <v>7</v>
      </c>
      <c r="H79" s="1">
        <f t="shared" si="51"/>
        <v>7</v>
      </c>
      <c r="I79" s="1">
        <f t="shared" si="52"/>
        <v>7</v>
      </c>
      <c r="J79" s="2">
        <v>8</v>
      </c>
      <c r="K79" s="1">
        <f t="shared" si="104"/>
        <v>8</v>
      </c>
      <c r="L79" s="1">
        <f t="shared" si="105"/>
        <v>8</v>
      </c>
      <c r="M79" s="1">
        <f t="shared" si="106"/>
        <v>8</v>
      </c>
      <c r="N79" s="1">
        <f t="shared" si="107"/>
        <v>8</v>
      </c>
      <c r="O79" s="2">
        <v>6</v>
      </c>
      <c r="P79" s="1">
        <f t="shared" si="93"/>
        <v>6</v>
      </c>
      <c r="Q79" s="1">
        <f t="shared" si="94"/>
        <v>6</v>
      </c>
      <c r="R79" s="1">
        <f t="shared" si="95"/>
        <v>6</v>
      </c>
      <c r="S79" s="1">
        <f t="shared" si="96"/>
        <v>6</v>
      </c>
      <c r="T79" s="2">
        <v>7</v>
      </c>
      <c r="U79" s="1">
        <f t="shared" si="121"/>
        <v>7</v>
      </c>
      <c r="V79" s="1">
        <f t="shared" si="121"/>
        <v>7</v>
      </c>
      <c r="W79" s="1">
        <f t="shared" si="115"/>
        <v>7</v>
      </c>
      <c r="X79" s="1">
        <f t="shared" si="115"/>
        <v>7</v>
      </c>
      <c r="Y79" s="2">
        <v>9</v>
      </c>
      <c r="Z79" s="1">
        <f t="shared" si="109"/>
        <v>72</v>
      </c>
      <c r="AA79" s="2"/>
      <c r="AB79" s="1">
        <f t="shared" si="110"/>
        <v>0</v>
      </c>
      <c r="AC79" s="2"/>
      <c r="AD79" s="1">
        <f t="shared" si="111"/>
        <v>0</v>
      </c>
      <c r="AE79" s="2"/>
      <c r="AF79" s="1">
        <f t="shared" si="98"/>
        <v>0</v>
      </c>
      <c r="AG79" s="1"/>
      <c r="AH79" s="1">
        <f t="shared" si="99"/>
        <v>0</v>
      </c>
      <c r="AI79" s="1">
        <f t="shared" si="100"/>
        <v>0</v>
      </c>
      <c r="AJ79" s="2"/>
      <c r="AK79" s="1">
        <f t="shared" si="101"/>
        <v>0</v>
      </c>
      <c r="AL79" s="1">
        <f t="shared" si="102"/>
        <v>0</v>
      </c>
      <c r="AM79" s="2"/>
      <c r="AN79" s="1"/>
      <c r="AO79" s="1"/>
      <c r="AP79" s="1">
        <f t="shared" si="117"/>
        <v>37</v>
      </c>
      <c r="AQ79" s="32">
        <f t="shared" si="118"/>
        <v>184</v>
      </c>
    </row>
    <row r="80" spans="1:43" hidden="1" x14ac:dyDescent="0.25">
      <c r="B80" s="10" t="s">
        <v>80</v>
      </c>
      <c r="C80" s="96">
        <v>78</v>
      </c>
      <c r="D80" s="10" t="s">
        <v>234</v>
      </c>
      <c r="E80" s="2">
        <v>7</v>
      </c>
      <c r="F80" s="1">
        <f t="shared" si="116"/>
        <v>7</v>
      </c>
      <c r="G80" s="1">
        <f t="shared" si="119"/>
        <v>7</v>
      </c>
      <c r="H80" s="1">
        <f t="shared" si="51"/>
        <v>7</v>
      </c>
      <c r="I80" s="1">
        <f t="shared" si="52"/>
        <v>7</v>
      </c>
      <c r="J80" s="2">
        <v>5</v>
      </c>
      <c r="K80" s="1">
        <f t="shared" si="104"/>
        <v>5</v>
      </c>
      <c r="L80" s="1">
        <f t="shared" si="105"/>
        <v>5</v>
      </c>
      <c r="M80" s="1">
        <f t="shared" si="106"/>
        <v>5</v>
      </c>
      <c r="N80" s="1">
        <f t="shared" si="107"/>
        <v>5</v>
      </c>
      <c r="O80" s="2">
        <v>6</v>
      </c>
      <c r="P80" s="1">
        <f t="shared" si="93"/>
        <v>6</v>
      </c>
      <c r="Q80" s="1">
        <f t="shared" si="94"/>
        <v>6</v>
      </c>
      <c r="R80" s="1">
        <f t="shared" si="95"/>
        <v>6</v>
      </c>
      <c r="S80" s="1">
        <f t="shared" si="96"/>
        <v>6</v>
      </c>
      <c r="T80" s="2">
        <v>15</v>
      </c>
      <c r="U80" s="1">
        <f t="shared" si="121"/>
        <v>15</v>
      </c>
      <c r="V80" s="1">
        <f t="shared" si="121"/>
        <v>15</v>
      </c>
      <c r="W80" s="1">
        <f t="shared" si="121"/>
        <v>15</v>
      </c>
      <c r="X80" s="1">
        <f t="shared" si="121"/>
        <v>15</v>
      </c>
      <c r="Y80" s="2">
        <v>9</v>
      </c>
      <c r="Z80" s="1">
        <f t="shared" si="109"/>
        <v>72</v>
      </c>
      <c r="AA80" s="2">
        <v>13</v>
      </c>
      <c r="AB80" s="1">
        <f t="shared" si="110"/>
        <v>104</v>
      </c>
      <c r="AC80" s="2">
        <v>11</v>
      </c>
      <c r="AD80" s="1">
        <f t="shared" si="111"/>
        <v>88</v>
      </c>
      <c r="AE80" s="2">
        <v>15</v>
      </c>
      <c r="AF80" s="1">
        <f t="shared" si="98"/>
        <v>120</v>
      </c>
      <c r="AG80" s="1"/>
      <c r="AH80" s="1">
        <f t="shared" si="99"/>
        <v>0</v>
      </c>
      <c r="AI80" s="1">
        <f t="shared" si="100"/>
        <v>0</v>
      </c>
      <c r="AJ80" s="2"/>
      <c r="AK80" s="1">
        <f t="shared" si="101"/>
        <v>0</v>
      </c>
      <c r="AL80" s="1">
        <f t="shared" si="102"/>
        <v>0</v>
      </c>
      <c r="AM80" s="2"/>
      <c r="AN80" s="1"/>
      <c r="AO80" s="1"/>
      <c r="AP80" s="1">
        <f t="shared" si="117"/>
        <v>81</v>
      </c>
      <c r="AQ80" s="32">
        <f t="shared" si="118"/>
        <v>516</v>
      </c>
    </row>
    <row r="81" spans="2:43" x14ac:dyDescent="0.25">
      <c r="B81" s="10" t="s">
        <v>71</v>
      </c>
      <c r="C81" s="96">
        <v>79</v>
      </c>
      <c r="D81" s="64" t="s">
        <v>212</v>
      </c>
      <c r="E81" s="2">
        <v>38</v>
      </c>
      <c r="F81" s="1">
        <f t="shared" si="116"/>
        <v>38</v>
      </c>
      <c r="G81" s="1">
        <f t="shared" si="119"/>
        <v>38</v>
      </c>
      <c r="H81" s="1">
        <f t="shared" si="51"/>
        <v>38</v>
      </c>
      <c r="I81" s="1">
        <f t="shared" si="52"/>
        <v>38</v>
      </c>
      <c r="J81" s="2">
        <v>35</v>
      </c>
      <c r="K81" s="1">
        <f t="shared" si="104"/>
        <v>35</v>
      </c>
      <c r="L81" s="1">
        <f t="shared" si="105"/>
        <v>35</v>
      </c>
      <c r="M81" s="1">
        <f t="shared" si="106"/>
        <v>35</v>
      </c>
      <c r="N81" s="1">
        <f t="shared" si="107"/>
        <v>35</v>
      </c>
      <c r="O81" s="2">
        <v>52</v>
      </c>
      <c r="P81" s="1">
        <f t="shared" si="93"/>
        <v>52</v>
      </c>
      <c r="Q81" s="1">
        <f t="shared" si="94"/>
        <v>52</v>
      </c>
      <c r="R81" s="1">
        <f t="shared" si="95"/>
        <v>52</v>
      </c>
      <c r="S81" s="1">
        <f t="shared" si="96"/>
        <v>52</v>
      </c>
      <c r="T81" s="2">
        <v>49</v>
      </c>
      <c r="U81" s="1">
        <f t="shared" si="121"/>
        <v>49</v>
      </c>
      <c r="V81" s="1">
        <f t="shared" si="121"/>
        <v>49</v>
      </c>
      <c r="W81" s="1">
        <f t="shared" si="121"/>
        <v>49</v>
      </c>
      <c r="X81" s="1">
        <f t="shared" si="121"/>
        <v>49</v>
      </c>
      <c r="Y81" s="2">
        <v>53</v>
      </c>
      <c r="Z81" s="1">
        <f t="shared" si="109"/>
        <v>424</v>
      </c>
      <c r="AA81" s="2">
        <v>67</v>
      </c>
      <c r="AB81" s="1">
        <f t="shared" si="110"/>
        <v>536</v>
      </c>
      <c r="AC81" s="2">
        <v>53</v>
      </c>
      <c r="AD81" s="1">
        <f t="shared" si="111"/>
        <v>424</v>
      </c>
      <c r="AE81" s="2"/>
      <c r="AF81" s="1">
        <f t="shared" si="98"/>
        <v>0</v>
      </c>
      <c r="AG81" s="1"/>
      <c r="AH81" s="1">
        <f t="shared" si="99"/>
        <v>0</v>
      </c>
      <c r="AI81" s="1">
        <f t="shared" si="100"/>
        <v>0</v>
      </c>
      <c r="AJ81" s="2"/>
      <c r="AK81" s="1">
        <f t="shared" si="101"/>
        <v>0</v>
      </c>
      <c r="AL81" s="1">
        <f t="shared" si="102"/>
        <v>0</v>
      </c>
      <c r="AM81" s="2"/>
      <c r="AN81" s="1"/>
      <c r="AO81" s="1"/>
      <c r="AP81" s="1">
        <f t="shared" si="117"/>
        <v>347</v>
      </c>
      <c r="AQ81" s="32">
        <f t="shared" si="118"/>
        <v>2080</v>
      </c>
    </row>
    <row r="82" spans="2:43" hidden="1" x14ac:dyDescent="0.25">
      <c r="B82" s="10" t="s">
        <v>80</v>
      </c>
      <c r="C82" s="96">
        <v>80</v>
      </c>
      <c r="D82" s="10" t="s">
        <v>158</v>
      </c>
      <c r="E82" s="2">
        <v>8</v>
      </c>
      <c r="F82" s="1">
        <f t="shared" si="116"/>
        <v>8</v>
      </c>
      <c r="G82" s="1">
        <f t="shared" si="119"/>
        <v>8</v>
      </c>
      <c r="H82" s="1">
        <f t="shared" si="51"/>
        <v>8</v>
      </c>
      <c r="I82" s="1">
        <f t="shared" si="52"/>
        <v>8</v>
      </c>
      <c r="J82" s="2">
        <v>9</v>
      </c>
      <c r="K82" s="1">
        <f t="shared" si="104"/>
        <v>9</v>
      </c>
      <c r="L82" s="1">
        <f t="shared" si="105"/>
        <v>9</v>
      </c>
      <c r="M82" s="1">
        <f t="shared" si="106"/>
        <v>9</v>
      </c>
      <c r="N82" s="1">
        <f t="shared" si="107"/>
        <v>9</v>
      </c>
      <c r="O82" s="2">
        <v>14</v>
      </c>
      <c r="P82" s="1">
        <f>O82*1</f>
        <v>14</v>
      </c>
      <c r="Q82" s="1">
        <f t="shared" si="94"/>
        <v>14</v>
      </c>
      <c r="R82" s="1">
        <f t="shared" si="95"/>
        <v>14</v>
      </c>
      <c r="S82" s="1">
        <f t="shared" si="96"/>
        <v>14</v>
      </c>
      <c r="T82" s="2">
        <v>23</v>
      </c>
      <c r="U82" s="1">
        <f t="shared" si="121"/>
        <v>23</v>
      </c>
      <c r="V82" s="1">
        <f t="shared" si="121"/>
        <v>23</v>
      </c>
      <c r="W82" s="1">
        <f t="shared" si="121"/>
        <v>23</v>
      </c>
      <c r="X82" s="1">
        <f t="shared" si="121"/>
        <v>23</v>
      </c>
      <c r="Y82" s="2">
        <v>16</v>
      </c>
      <c r="Z82" s="1">
        <f t="shared" si="109"/>
        <v>128</v>
      </c>
      <c r="AA82" s="2">
        <v>16</v>
      </c>
      <c r="AB82" s="1">
        <f t="shared" si="110"/>
        <v>128</v>
      </c>
      <c r="AC82" s="2">
        <v>15</v>
      </c>
      <c r="AD82" s="1">
        <f t="shared" si="111"/>
        <v>120</v>
      </c>
      <c r="AE82" s="2"/>
      <c r="AF82" s="1">
        <f t="shared" si="98"/>
        <v>0</v>
      </c>
      <c r="AG82" s="1"/>
      <c r="AH82" s="1">
        <f t="shared" si="99"/>
        <v>0</v>
      </c>
      <c r="AI82" s="1">
        <f t="shared" si="100"/>
        <v>0</v>
      </c>
      <c r="AJ82" s="2"/>
      <c r="AK82" s="1">
        <f t="shared" si="101"/>
        <v>0</v>
      </c>
      <c r="AL82" s="1">
        <f t="shared" si="102"/>
        <v>0</v>
      </c>
      <c r="AM82" s="2"/>
      <c r="AN82" s="1"/>
      <c r="AO82" s="1"/>
      <c r="AP82" s="1">
        <f t="shared" si="117"/>
        <v>101</v>
      </c>
      <c r="AQ82" s="32">
        <f t="shared" si="118"/>
        <v>592</v>
      </c>
    </row>
    <row r="83" spans="2:43" hidden="1" x14ac:dyDescent="0.25">
      <c r="B83" s="10" t="s">
        <v>80</v>
      </c>
      <c r="C83" s="96">
        <v>81</v>
      </c>
      <c r="D83" s="10" t="s">
        <v>157</v>
      </c>
      <c r="E83" s="2">
        <v>14</v>
      </c>
      <c r="F83" s="1">
        <f t="shared" si="116"/>
        <v>14</v>
      </c>
      <c r="G83" s="1">
        <f t="shared" si="119"/>
        <v>14</v>
      </c>
      <c r="H83" s="1">
        <f t="shared" si="51"/>
        <v>14</v>
      </c>
      <c r="I83" s="1">
        <f t="shared" si="52"/>
        <v>14</v>
      </c>
      <c r="J83" s="2">
        <v>18</v>
      </c>
      <c r="K83" s="1">
        <f t="shared" si="104"/>
        <v>18</v>
      </c>
      <c r="L83" s="1">
        <f t="shared" si="105"/>
        <v>18</v>
      </c>
      <c r="M83" s="1">
        <f t="shared" si="106"/>
        <v>18</v>
      </c>
      <c r="N83" s="1">
        <f t="shared" si="107"/>
        <v>18</v>
      </c>
      <c r="O83" s="2">
        <v>19</v>
      </c>
      <c r="P83" s="1">
        <f t="shared" si="93"/>
        <v>19</v>
      </c>
      <c r="Q83" s="1">
        <f t="shared" si="94"/>
        <v>19</v>
      </c>
      <c r="R83" s="1">
        <f t="shared" si="95"/>
        <v>19</v>
      </c>
      <c r="S83" s="1">
        <f t="shared" si="96"/>
        <v>19</v>
      </c>
      <c r="T83" s="2">
        <v>23</v>
      </c>
      <c r="U83" s="1">
        <f t="shared" si="121"/>
        <v>23</v>
      </c>
      <c r="V83" s="1">
        <f t="shared" si="121"/>
        <v>23</v>
      </c>
      <c r="W83" s="1">
        <f t="shared" si="121"/>
        <v>23</v>
      </c>
      <c r="X83" s="1">
        <f t="shared" si="121"/>
        <v>23</v>
      </c>
      <c r="Y83" s="2">
        <v>18</v>
      </c>
      <c r="Z83" s="1">
        <f t="shared" si="109"/>
        <v>144</v>
      </c>
      <c r="AA83" s="2">
        <v>17</v>
      </c>
      <c r="AB83" s="1">
        <f t="shared" si="110"/>
        <v>136</v>
      </c>
      <c r="AC83" s="2">
        <v>23</v>
      </c>
      <c r="AD83" s="1">
        <f t="shared" si="111"/>
        <v>184</v>
      </c>
      <c r="AE83" s="2">
        <v>19</v>
      </c>
      <c r="AF83" s="1">
        <f t="shared" si="98"/>
        <v>152</v>
      </c>
      <c r="AG83" s="1"/>
      <c r="AH83" s="1">
        <f t="shared" si="99"/>
        <v>0</v>
      </c>
      <c r="AI83" s="1">
        <f t="shared" si="100"/>
        <v>0</v>
      </c>
      <c r="AJ83" s="2"/>
      <c r="AK83" s="1">
        <f t="shared" si="101"/>
        <v>0</v>
      </c>
      <c r="AL83" s="1">
        <f t="shared" si="102"/>
        <v>0</v>
      </c>
      <c r="AM83" s="2"/>
      <c r="AN83" s="1"/>
      <c r="AO83" s="1"/>
      <c r="AP83" s="1">
        <f t="shared" si="117"/>
        <v>151</v>
      </c>
      <c r="AQ83" s="32">
        <f t="shared" si="118"/>
        <v>912</v>
      </c>
    </row>
    <row r="84" spans="2:43" hidden="1" x14ac:dyDescent="0.25">
      <c r="B84" s="10" t="s">
        <v>80</v>
      </c>
      <c r="C84" s="96">
        <v>82</v>
      </c>
      <c r="D84" s="10" t="s">
        <v>159</v>
      </c>
      <c r="E84" s="2"/>
      <c r="F84" s="1">
        <f t="shared" si="116"/>
        <v>0</v>
      </c>
      <c r="G84" s="1">
        <f t="shared" si="119"/>
        <v>0</v>
      </c>
      <c r="H84" s="1">
        <f t="shared" si="51"/>
        <v>0</v>
      </c>
      <c r="I84" s="1">
        <f t="shared" si="52"/>
        <v>0</v>
      </c>
      <c r="J84" s="2">
        <v>16</v>
      </c>
      <c r="K84" s="1">
        <f t="shared" si="104"/>
        <v>16</v>
      </c>
      <c r="L84" s="1">
        <f t="shared" si="105"/>
        <v>16</v>
      </c>
      <c r="M84" s="1">
        <f t="shared" si="106"/>
        <v>16</v>
      </c>
      <c r="N84" s="1">
        <f t="shared" si="107"/>
        <v>16</v>
      </c>
      <c r="O84" s="2">
        <v>22</v>
      </c>
      <c r="P84" s="1">
        <f t="shared" si="93"/>
        <v>22</v>
      </c>
      <c r="Q84" s="1">
        <f t="shared" si="94"/>
        <v>22</v>
      </c>
      <c r="R84" s="1">
        <f t="shared" si="95"/>
        <v>22</v>
      </c>
      <c r="S84" s="1">
        <f t="shared" si="96"/>
        <v>22</v>
      </c>
      <c r="T84" s="2">
        <v>12</v>
      </c>
      <c r="U84" s="1">
        <f t="shared" si="121"/>
        <v>12</v>
      </c>
      <c r="V84" s="1">
        <f t="shared" si="121"/>
        <v>12</v>
      </c>
      <c r="W84" s="1">
        <f t="shared" si="121"/>
        <v>12</v>
      </c>
      <c r="X84" s="1">
        <f t="shared" si="121"/>
        <v>12</v>
      </c>
      <c r="Y84" s="2">
        <v>20</v>
      </c>
      <c r="Z84" s="1">
        <f t="shared" si="109"/>
        <v>160</v>
      </c>
      <c r="AA84" s="2">
        <v>15</v>
      </c>
      <c r="AB84" s="1">
        <f t="shared" si="110"/>
        <v>120</v>
      </c>
      <c r="AC84" s="2">
        <v>20</v>
      </c>
      <c r="AD84" s="1">
        <f t="shared" si="111"/>
        <v>160</v>
      </c>
      <c r="AE84" s="2"/>
      <c r="AF84" s="1">
        <f t="shared" si="98"/>
        <v>0</v>
      </c>
      <c r="AG84" s="1"/>
      <c r="AH84" s="1">
        <f t="shared" si="99"/>
        <v>0</v>
      </c>
      <c r="AI84" s="1">
        <f t="shared" si="100"/>
        <v>0</v>
      </c>
      <c r="AJ84" s="2"/>
      <c r="AK84" s="1">
        <f t="shared" si="101"/>
        <v>0</v>
      </c>
      <c r="AL84" s="1">
        <f t="shared" si="102"/>
        <v>0</v>
      </c>
      <c r="AM84" s="2"/>
      <c r="AN84" s="1"/>
      <c r="AO84" s="1"/>
      <c r="AP84" s="1">
        <f t="shared" si="117"/>
        <v>105</v>
      </c>
      <c r="AQ84" s="32">
        <f t="shared" si="118"/>
        <v>640</v>
      </c>
    </row>
    <row r="85" spans="2:43" hidden="1" x14ac:dyDescent="0.25">
      <c r="B85" s="10" t="s">
        <v>80</v>
      </c>
      <c r="C85" s="96">
        <v>83</v>
      </c>
      <c r="D85" s="10" t="s">
        <v>160</v>
      </c>
      <c r="E85" s="95"/>
      <c r="F85" s="1">
        <f t="shared" si="116"/>
        <v>0</v>
      </c>
      <c r="G85" s="1">
        <f t="shared" si="119"/>
        <v>0</v>
      </c>
      <c r="H85" s="1">
        <f t="shared" si="51"/>
        <v>0</v>
      </c>
      <c r="I85" s="1">
        <f t="shared" si="52"/>
        <v>0</v>
      </c>
      <c r="J85" s="2">
        <v>12</v>
      </c>
      <c r="K85" s="1">
        <f t="shared" si="104"/>
        <v>12</v>
      </c>
      <c r="L85" s="1">
        <f t="shared" si="105"/>
        <v>12</v>
      </c>
      <c r="M85" s="1">
        <f t="shared" si="106"/>
        <v>12</v>
      </c>
      <c r="N85" s="1">
        <f t="shared" si="107"/>
        <v>12</v>
      </c>
      <c r="O85" s="2">
        <v>20</v>
      </c>
      <c r="P85" s="1">
        <f t="shared" si="93"/>
        <v>20</v>
      </c>
      <c r="Q85" s="1">
        <f t="shared" si="94"/>
        <v>20</v>
      </c>
      <c r="R85" s="1">
        <f t="shared" si="95"/>
        <v>20</v>
      </c>
      <c r="S85" s="1">
        <f t="shared" si="96"/>
        <v>20</v>
      </c>
      <c r="T85" s="2">
        <v>12</v>
      </c>
      <c r="U85" s="1">
        <f t="shared" si="121"/>
        <v>12</v>
      </c>
      <c r="V85" s="1">
        <f t="shared" si="121"/>
        <v>12</v>
      </c>
      <c r="W85" s="1">
        <f t="shared" si="121"/>
        <v>12</v>
      </c>
      <c r="X85" s="1">
        <f t="shared" si="121"/>
        <v>12</v>
      </c>
      <c r="Y85" s="2">
        <v>18</v>
      </c>
      <c r="Z85" s="1">
        <f t="shared" si="109"/>
        <v>144</v>
      </c>
      <c r="AA85" s="2">
        <v>18</v>
      </c>
      <c r="AB85" s="1">
        <f t="shared" si="110"/>
        <v>144</v>
      </c>
      <c r="AC85" s="2">
        <v>18</v>
      </c>
      <c r="AD85" s="1">
        <f t="shared" si="111"/>
        <v>144</v>
      </c>
      <c r="AE85" s="2"/>
      <c r="AF85" s="1">
        <f t="shared" si="98"/>
        <v>0</v>
      </c>
      <c r="AG85" s="1"/>
      <c r="AH85" s="1">
        <f t="shared" si="99"/>
        <v>0</v>
      </c>
      <c r="AI85" s="1">
        <f t="shared" si="100"/>
        <v>0</v>
      </c>
      <c r="AJ85" s="2"/>
      <c r="AK85" s="1">
        <f t="shared" si="101"/>
        <v>0</v>
      </c>
      <c r="AL85" s="1">
        <f t="shared" si="102"/>
        <v>0</v>
      </c>
      <c r="AM85" s="2"/>
      <c r="AN85" s="1"/>
      <c r="AO85" s="1"/>
      <c r="AP85" s="1">
        <f t="shared" si="117"/>
        <v>98</v>
      </c>
      <c r="AQ85" s="32">
        <f t="shared" si="118"/>
        <v>608</v>
      </c>
    </row>
    <row r="86" spans="2:43" hidden="1" x14ac:dyDescent="0.25">
      <c r="B86" s="10" t="s">
        <v>80</v>
      </c>
      <c r="C86" s="96">
        <v>84</v>
      </c>
      <c r="D86" s="10" t="s">
        <v>161</v>
      </c>
      <c r="E86" s="2">
        <v>24</v>
      </c>
      <c r="F86" s="1">
        <f t="shared" si="116"/>
        <v>24</v>
      </c>
      <c r="G86" s="1">
        <f t="shared" si="119"/>
        <v>24</v>
      </c>
      <c r="H86" s="1">
        <f t="shared" si="51"/>
        <v>24</v>
      </c>
      <c r="I86" s="1">
        <f t="shared" si="52"/>
        <v>24</v>
      </c>
      <c r="J86" s="2">
        <v>32</v>
      </c>
      <c r="K86" s="1">
        <f t="shared" si="104"/>
        <v>32</v>
      </c>
      <c r="L86" s="1">
        <f t="shared" si="105"/>
        <v>32</v>
      </c>
      <c r="M86" s="1">
        <f t="shared" si="106"/>
        <v>32</v>
      </c>
      <c r="N86" s="1">
        <f t="shared" si="107"/>
        <v>32</v>
      </c>
      <c r="O86" s="2">
        <v>30</v>
      </c>
      <c r="P86" s="1">
        <f t="shared" si="93"/>
        <v>30</v>
      </c>
      <c r="Q86" s="1">
        <f t="shared" si="94"/>
        <v>30</v>
      </c>
      <c r="R86" s="1">
        <f t="shared" si="95"/>
        <v>30</v>
      </c>
      <c r="S86" s="1">
        <f t="shared" si="96"/>
        <v>30</v>
      </c>
      <c r="T86" s="2">
        <v>29</v>
      </c>
      <c r="U86" s="1">
        <f t="shared" si="121"/>
        <v>29</v>
      </c>
      <c r="V86" s="1">
        <f t="shared" si="121"/>
        <v>29</v>
      </c>
      <c r="W86" s="1">
        <f t="shared" si="121"/>
        <v>29</v>
      </c>
      <c r="X86" s="1">
        <f t="shared" si="121"/>
        <v>29</v>
      </c>
      <c r="Y86" s="2">
        <v>32</v>
      </c>
      <c r="Z86" s="1">
        <f t="shared" si="109"/>
        <v>256</v>
      </c>
      <c r="AA86" s="2">
        <v>44</v>
      </c>
      <c r="AB86" s="1">
        <f t="shared" si="110"/>
        <v>352</v>
      </c>
      <c r="AC86" s="2">
        <v>34</v>
      </c>
      <c r="AD86" s="1">
        <f t="shared" si="111"/>
        <v>272</v>
      </c>
      <c r="AE86" s="2"/>
      <c r="AF86" s="1">
        <f t="shared" si="98"/>
        <v>0</v>
      </c>
      <c r="AG86" s="1"/>
      <c r="AH86" s="1">
        <f t="shared" si="99"/>
        <v>0</v>
      </c>
      <c r="AI86" s="1">
        <f t="shared" si="100"/>
        <v>0</v>
      </c>
      <c r="AJ86" s="2"/>
      <c r="AK86" s="1">
        <f t="shared" si="101"/>
        <v>0</v>
      </c>
      <c r="AL86" s="1">
        <f t="shared" si="102"/>
        <v>0</v>
      </c>
      <c r="AM86" s="2"/>
      <c r="AN86" s="1"/>
      <c r="AO86" s="1"/>
      <c r="AP86" s="1">
        <f t="shared" si="117"/>
        <v>225</v>
      </c>
      <c r="AQ86" s="32">
        <f t="shared" si="118"/>
        <v>1340</v>
      </c>
    </row>
    <row r="87" spans="2:43" hidden="1" x14ac:dyDescent="0.25">
      <c r="B87" s="10" t="s">
        <v>80</v>
      </c>
      <c r="C87" s="96">
        <v>85</v>
      </c>
      <c r="D87" s="10" t="s">
        <v>129</v>
      </c>
      <c r="E87" s="2">
        <v>21</v>
      </c>
      <c r="F87" s="1">
        <f t="shared" si="116"/>
        <v>21</v>
      </c>
      <c r="G87" s="1">
        <f t="shared" si="119"/>
        <v>21</v>
      </c>
      <c r="H87" s="1">
        <f t="shared" ref="H87:H91" si="122">E87*1</f>
        <v>21</v>
      </c>
      <c r="I87" s="1">
        <f t="shared" si="52"/>
        <v>21</v>
      </c>
      <c r="J87" s="2">
        <v>23</v>
      </c>
      <c r="K87" s="1">
        <f t="shared" si="104"/>
        <v>23</v>
      </c>
      <c r="L87" s="1">
        <f t="shared" si="105"/>
        <v>23</v>
      </c>
      <c r="M87" s="1">
        <f t="shared" si="106"/>
        <v>23</v>
      </c>
      <c r="N87" s="1">
        <f t="shared" si="107"/>
        <v>23</v>
      </c>
      <c r="O87" s="2">
        <v>43</v>
      </c>
      <c r="P87" s="1">
        <f t="shared" si="93"/>
        <v>43</v>
      </c>
      <c r="Q87" s="1">
        <f t="shared" si="94"/>
        <v>43</v>
      </c>
      <c r="R87" s="1">
        <f t="shared" si="95"/>
        <v>43</v>
      </c>
      <c r="S87" s="1">
        <f t="shared" si="96"/>
        <v>43</v>
      </c>
      <c r="T87" s="2">
        <v>46</v>
      </c>
      <c r="U87" s="1">
        <f t="shared" si="121"/>
        <v>46</v>
      </c>
      <c r="V87" s="1">
        <f t="shared" si="121"/>
        <v>46</v>
      </c>
      <c r="W87" s="1">
        <f t="shared" si="121"/>
        <v>46</v>
      </c>
      <c r="X87" s="1">
        <f t="shared" si="121"/>
        <v>46</v>
      </c>
      <c r="Y87" s="2">
        <v>41</v>
      </c>
      <c r="Z87" s="1">
        <f t="shared" si="109"/>
        <v>328</v>
      </c>
      <c r="AA87" s="2">
        <v>64</v>
      </c>
      <c r="AB87" s="1">
        <f t="shared" si="110"/>
        <v>512</v>
      </c>
      <c r="AC87" s="2">
        <v>78</v>
      </c>
      <c r="AD87" s="1">
        <f t="shared" si="111"/>
        <v>624</v>
      </c>
      <c r="AE87" s="2"/>
      <c r="AF87" s="1">
        <f t="shared" si="98"/>
        <v>0</v>
      </c>
      <c r="AG87" s="1"/>
      <c r="AH87" s="1">
        <f t="shared" si="99"/>
        <v>0</v>
      </c>
      <c r="AI87" s="1">
        <f t="shared" si="100"/>
        <v>0</v>
      </c>
      <c r="AJ87" s="2"/>
      <c r="AK87" s="1">
        <f t="shared" si="101"/>
        <v>0</v>
      </c>
      <c r="AL87" s="1">
        <f t="shared" si="102"/>
        <v>0</v>
      </c>
      <c r="AM87" s="2"/>
      <c r="AN87" s="1"/>
      <c r="AO87" s="1"/>
      <c r="AP87" s="1">
        <f t="shared" si="117"/>
        <v>316</v>
      </c>
      <c r="AQ87" s="32">
        <f t="shared" si="118"/>
        <v>1996</v>
      </c>
    </row>
    <row r="88" spans="2:43" hidden="1" x14ac:dyDescent="0.25">
      <c r="B88" s="10" t="s">
        <v>80</v>
      </c>
      <c r="C88" s="96">
        <v>86</v>
      </c>
      <c r="D88" s="10" t="s">
        <v>162</v>
      </c>
      <c r="E88" s="2">
        <v>35</v>
      </c>
      <c r="F88" s="1">
        <f t="shared" si="116"/>
        <v>35</v>
      </c>
      <c r="G88" s="1">
        <f t="shared" si="119"/>
        <v>35</v>
      </c>
      <c r="H88" s="1">
        <f t="shared" si="122"/>
        <v>35</v>
      </c>
      <c r="I88" s="1">
        <f t="shared" si="52"/>
        <v>35</v>
      </c>
      <c r="J88" s="2">
        <v>30</v>
      </c>
      <c r="K88" s="1">
        <f t="shared" si="104"/>
        <v>30</v>
      </c>
      <c r="L88" s="1">
        <f t="shared" si="105"/>
        <v>30</v>
      </c>
      <c r="M88" s="1">
        <f t="shared" si="106"/>
        <v>30</v>
      </c>
      <c r="N88" s="1">
        <f t="shared" si="107"/>
        <v>30</v>
      </c>
      <c r="O88" s="2">
        <v>36</v>
      </c>
      <c r="P88" s="1">
        <f t="shared" si="93"/>
        <v>36</v>
      </c>
      <c r="Q88" s="1">
        <f t="shared" si="94"/>
        <v>36</v>
      </c>
      <c r="R88" s="1">
        <f t="shared" si="95"/>
        <v>36</v>
      </c>
      <c r="S88" s="1">
        <f t="shared" si="96"/>
        <v>36</v>
      </c>
      <c r="T88" s="2">
        <v>40</v>
      </c>
      <c r="U88" s="1">
        <f t="shared" si="121"/>
        <v>40</v>
      </c>
      <c r="V88" s="1">
        <f t="shared" si="121"/>
        <v>40</v>
      </c>
      <c r="W88" s="1">
        <f t="shared" si="121"/>
        <v>40</v>
      </c>
      <c r="X88" s="1">
        <f t="shared" si="121"/>
        <v>40</v>
      </c>
      <c r="Y88" s="2">
        <v>35</v>
      </c>
      <c r="Z88" s="1">
        <f t="shared" si="109"/>
        <v>280</v>
      </c>
      <c r="AA88" s="2">
        <v>60</v>
      </c>
      <c r="AB88" s="1">
        <f t="shared" si="110"/>
        <v>480</v>
      </c>
      <c r="AC88" s="2"/>
      <c r="AD88" s="1">
        <f t="shared" si="111"/>
        <v>0</v>
      </c>
      <c r="AE88" s="2"/>
      <c r="AF88" s="1">
        <f t="shared" si="98"/>
        <v>0</v>
      </c>
      <c r="AG88" s="1"/>
      <c r="AH88" s="1">
        <f t="shared" si="99"/>
        <v>0</v>
      </c>
      <c r="AI88" s="1">
        <f t="shared" si="100"/>
        <v>0</v>
      </c>
      <c r="AJ88" s="2"/>
      <c r="AK88" s="1">
        <f t="shared" si="101"/>
        <v>0</v>
      </c>
      <c r="AL88" s="1">
        <f t="shared" si="102"/>
        <v>0</v>
      </c>
      <c r="AM88" s="2"/>
      <c r="AN88" s="1"/>
      <c r="AO88" s="1"/>
      <c r="AP88" s="1">
        <f t="shared" si="117"/>
        <v>236</v>
      </c>
      <c r="AQ88" s="32">
        <f t="shared" si="118"/>
        <v>1324</v>
      </c>
    </row>
    <row r="89" spans="2:43" hidden="1" x14ac:dyDescent="0.25">
      <c r="B89" s="10" t="s">
        <v>80</v>
      </c>
      <c r="C89" s="96">
        <v>87</v>
      </c>
      <c r="D89" s="10" t="s">
        <v>165</v>
      </c>
      <c r="E89" s="2">
        <v>15</v>
      </c>
      <c r="F89" s="1">
        <f t="shared" si="116"/>
        <v>15</v>
      </c>
      <c r="G89" s="1">
        <f t="shared" si="119"/>
        <v>15</v>
      </c>
      <c r="H89" s="1">
        <f t="shared" si="122"/>
        <v>15</v>
      </c>
      <c r="I89" s="1">
        <f t="shared" si="52"/>
        <v>15</v>
      </c>
      <c r="J89" s="2">
        <v>22</v>
      </c>
      <c r="K89" s="1">
        <f t="shared" si="104"/>
        <v>22</v>
      </c>
      <c r="L89" s="1">
        <f t="shared" si="105"/>
        <v>22</v>
      </c>
      <c r="M89" s="1">
        <f t="shared" si="106"/>
        <v>22</v>
      </c>
      <c r="N89" s="1">
        <f t="shared" si="107"/>
        <v>22</v>
      </c>
      <c r="O89" s="2">
        <v>16</v>
      </c>
      <c r="P89" s="1">
        <f t="shared" si="93"/>
        <v>16</v>
      </c>
      <c r="Q89" s="1">
        <f t="shared" si="94"/>
        <v>16</v>
      </c>
      <c r="R89" s="1">
        <f t="shared" si="95"/>
        <v>16</v>
      </c>
      <c r="S89" s="1">
        <f t="shared" si="96"/>
        <v>16</v>
      </c>
      <c r="T89" s="2">
        <v>17</v>
      </c>
      <c r="U89" s="1">
        <f t="shared" si="121"/>
        <v>17</v>
      </c>
      <c r="V89" s="1">
        <f t="shared" si="121"/>
        <v>17</v>
      </c>
      <c r="W89" s="1">
        <f t="shared" si="121"/>
        <v>17</v>
      </c>
      <c r="X89" s="1">
        <f t="shared" si="121"/>
        <v>17</v>
      </c>
      <c r="Y89" s="2">
        <v>14</v>
      </c>
      <c r="Z89" s="1">
        <f t="shared" si="109"/>
        <v>112</v>
      </c>
      <c r="AA89" s="2">
        <v>17</v>
      </c>
      <c r="AB89" s="1">
        <f t="shared" si="110"/>
        <v>136</v>
      </c>
      <c r="AC89" s="2">
        <v>24</v>
      </c>
      <c r="AD89" s="1">
        <f t="shared" si="111"/>
        <v>192</v>
      </c>
      <c r="AE89" s="2">
        <v>18</v>
      </c>
      <c r="AF89" s="1">
        <f t="shared" si="98"/>
        <v>144</v>
      </c>
      <c r="AG89" s="1"/>
      <c r="AH89" s="1">
        <f t="shared" si="99"/>
        <v>0</v>
      </c>
      <c r="AI89" s="1">
        <f t="shared" si="100"/>
        <v>0</v>
      </c>
      <c r="AJ89" s="2"/>
      <c r="AK89" s="1">
        <f t="shared" si="101"/>
        <v>0</v>
      </c>
      <c r="AL89" s="1">
        <f t="shared" si="102"/>
        <v>0</v>
      </c>
      <c r="AM89" s="2"/>
      <c r="AN89" s="1"/>
      <c r="AO89" s="1"/>
      <c r="AP89" s="1">
        <f t="shared" si="117"/>
        <v>143</v>
      </c>
      <c r="AQ89" s="32">
        <f t="shared" si="118"/>
        <v>864</v>
      </c>
    </row>
    <row r="90" spans="2:43" hidden="1" x14ac:dyDescent="0.25">
      <c r="B90" s="10" t="s">
        <v>80</v>
      </c>
      <c r="C90" s="96">
        <v>88</v>
      </c>
      <c r="D90" s="10" t="s">
        <v>166</v>
      </c>
      <c r="E90" s="2">
        <v>18</v>
      </c>
      <c r="F90" s="1">
        <f t="shared" si="116"/>
        <v>18</v>
      </c>
      <c r="G90" s="1">
        <f t="shared" si="119"/>
        <v>18</v>
      </c>
      <c r="H90" s="1">
        <f t="shared" si="122"/>
        <v>18</v>
      </c>
      <c r="I90" s="1">
        <f t="shared" si="52"/>
        <v>18</v>
      </c>
      <c r="J90" s="2">
        <v>26</v>
      </c>
      <c r="K90" s="1">
        <f t="shared" si="104"/>
        <v>26</v>
      </c>
      <c r="L90" s="1">
        <f t="shared" si="105"/>
        <v>26</v>
      </c>
      <c r="M90" s="1">
        <f t="shared" si="106"/>
        <v>26</v>
      </c>
      <c r="N90" s="1">
        <f t="shared" si="107"/>
        <v>26</v>
      </c>
      <c r="O90" s="2">
        <v>28</v>
      </c>
      <c r="P90" s="1">
        <f t="shared" si="93"/>
        <v>28</v>
      </c>
      <c r="Q90" s="1">
        <f t="shared" si="94"/>
        <v>28</v>
      </c>
      <c r="R90" s="1">
        <f t="shared" si="95"/>
        <v>28</v>
      </c>
      <c r="S90" s="1">
        <f t="shared" si="96"/>
        <v>28</v>
      </c>
      <c r="T90" s="2">
        <v>39</v>
      </c>
      <c r="U90" s="1">
        <f t="shared" si="121"/>
        <v>39</v>
      </c>
      <c r="V90" s="1">
        <f t="shared" si="121"/>
        <v>39</v>
      </c>
      <c r="W90" s="1">
        <f t="shared" si="121"/>
        <v>39</v>
      </c>
      <c r="X90" s="1">
        <f t="shared" si="121"/>
        <v>39</v>
      </c>
      <c r="Y90" s="2">
        <v>29</v>
      </c>
      <c r="Z90" s="1">
        <f t="shared" si="109"/>
        <v>232</v>
      </c>
      <c r="AA90" s="2">
        <v>53</v>
      </c>
      <c r="AB90" s="1">
        <f t="shared" si="110"/>
        <v>424</v>
      </c>
      <c r="AC90" s="2">
        <v>49</v>
      </c>
      <c r="AD90" s="1">
        <f t="shared" si="111"/>
        <v>392</v>
      </c>
      <c r="AE90" s="2"/>
      <c r="AF90" s="1">
        <f t="shared" si="98"/>
        <v>0</v>
      </c>
      <c r="AG90" s="1"/>
      <c r="AH90" s="1">
        <f t="shared" si="99"/>
        <v>0</v>
      </c>
      <c r="AI90" s="1">
        <f t="shared" si="100"/>
        <v>0</v>
      </c>
      <c r="AJ90" s="2"/>
      <c r="AK90" s="1">
        <f t="shared" si="101"/>
        <v>0</v>
      </c>
      <c r="AL90" s="1">
        <f t="shared" si="102"/>
        <v>0</v>
      </c>
      <c r="AM90" s="2"/>
      <c r="AN90" s="1"/>
      <c r="AO90" s="1"/>
      <c r="AP90" s="1">
        <f t="shared" si="117"/>
        <v>242</v>
      </c>
      <c r="AQ90" s="32">
        <f t="shared" si="118"/>
        <v>1492</v>
      </c>
    </row>
    <row r="91" spans="2:43" hidden="1" x14ac:dyDescent="0.25">
      <c r="B91" s="10" t="s">
        <v>80</v>
      </c>
      <c r="C91" s="96">
        <v>89</v>
      </c>
      <c r="D91" s="10" t="s">
        <v>167</v>
      </c>
      <c r="E91" s="2"/>
      <c r="F91" s="1">
        <f t="shared" si="116"/>
        <v>0</v>
      </c>
      <c r="G91" s="1">
        <f t="shared" si="119"/>
        <v>0</v>
      </c>
      <c r="H91" s="1">
        <f t="shared" si="122"/>
        <v>0</v>
      </c>
      <c r="I91" s="1">
        <f t="shared" si="52"/>
        <v>0</v>
      </c>
      <c r="J91" s="2"/>
      <c r="K91" s="1">
        <f t="shared" si="104"/>
        <v>0</v>
      </c>
      <c r="L91" s="1">
        <f t="shared" si="105"/>
        <v>0</v>
      </c>
      <c r="M91" s="1">
        <f t="shared" si="106"/>
        <v>0</v>
      </c>
      <c r="N91" s="1">
        <f t="shared" si="107"/>
        <v>0</v>
      </c>
      <c r="O91" s="2"/>
      <c r="P91" s="1">
        <f t="shared" si="93"/>
        <v>0</v>
      </c>
      <c r="Q91" s="1">
        <f t="shared" si="94"/>
        <v>0</v>
      </c>
      <c r="R91" s="1">
        <f t="shared" si="95"/>
        <v>0</v>
      </c>
      <c r="S91" s="1">
        <f t="shared" si="96"/>
        <v>0</v>
      </c>
      <c r="T91" s="2"/>
      <c r="U91" s="1">
        <f t="shared" si="121"/>
        <v>0</v>
      </c>
      <c r="V91" s="1">
        <f t="shared" si="121"/>
        <v>0</v>
      </c>
      <c r="W91" s="1">
        <f t="shared" si="121"/>
        <v>0</v>
      </c>
      <c r="X91" s="1">
        <f t="shared" si="121"/>
        <v>0</v>
      </c>
      <c r="Y91" s="2"/>
      <c r="Z91" s="1">
        <f t="shared" si="109"/>
        <v>0</v>
      </c>
      <c r="AA91" s="2"/>
      <c r="AB91" s="1">
        <f t="shared" si="110"/>
        <v>0</v>
      </c>
      <c r="AC91" s="2"/>
      <c r="AD91" s="1">
        <f t="shared" si="111"/>
        <v>0</v>
      </c>
      <c r="AE91" s="2">
        <v>47</v>
      </c>
      <c r="AF91" s="1">
        <f t="shared" si="98"/>
        <v>376</v>
      </c>
      <c r="AG91" s="1">
        <v>50</v>
      </c>
      <c r="AH91" s="1">
        <f t="shared" si="99"/>
        <v>400</v>
      </c>
      <c r="AI91" s="1">
        <f t="shared" si="100"/>
        <v>200</v>
      </c>
      <c r="AJ91" s="2">
        <v>40</v>
      </c>
      <c r="AK91" s="1">
        <f t="shared" si="101"/>
        <v>320</v>
      </c>
      <c r="AL91" s="1">
        <f t="shared" si="102"/>
        <v>160</v>
      </c>
      <c r="AM91" s="2"/>
      <c r="AN91" s="1"/>
      <c r="AO91" s="1"/>
      <c r="AP91" s="1">
        <f t="shared" si="117"/>
        <v>137</v>
      </c>
      <c r="AQ91" s="32">
        <f t="shared" si="118"/>
        <v>1456</v>
      </c>
    </row>
    <row r="92" spans="2:43" hidden="1" x14ac:dyDescent="0.25">
      <c r="B92" s="10" t="s">
        <v>80</v>
      </c>
      <c r="C92" s="96">
        <v>90</v>
      </c>
      <c r="D92" s="10" t="s">
        <v>168</v>
      </c>
      <c r="E92" s="2">
        <v>6</v>
      </c>
      <c r="F92" s="1">
        <f t="shared" ref="F92:F116" si="123">E92*1</f>
        <v>6</v>
      </c>
      <c r="G92" s="1">
        <f t="shared" ref="G92:G96" si="124">E92*1</f>
        <v>6</v>
      </c>
      <c r="H92" s="1">
        <f t="shared" ref="H92:H96" si="125">E92*1</f>
        <v>6</v>
      </c>
      <c r="I92" s="1">
        <f t="shared" ref="I92:I96" si="126">E92*1</f>
        <v>6</v>
      </c>
      <c r="J92" s="2">
        <v>8</v>
      </c>
      <c r="K92" s="1">
        <f t="shared" ref="K92:K98" si="127">J92*1</f>
        <v>8</v>
      </c>
      <c r="L92" s="1">
        <f t="shared" ref="L92:L116" si="128">J92*1</f>
        <v>8</v>
      </c>
      <c r="M92" s="1">
        <f t="shared" ref="M92:M116" si="129">J92*1</f>
        <v>8</v>
      </c>
      <c r="N92" s="1">
        <f t="shared" ref="N92:N116" si="130">J92*1</f>
        <v>8</v>
      </c>
      <c r="O92" s="2">
        <v>11</v>
      </c>
      <c r="P92" s="1">
        <f t="shared" ref="P92:P116" si="131">O92*1</f>
        <v>11</v>
      </c>
      <c r="Q92" s="1">
        <f t="shared" ref="Q92:Q116" si="132">O92*1</f>
        <v>11</v>
      </c>
      <c r="R92" s="1">
        <f t="shared" ref="R92:R115" si="133">O92*1</f>
        <v>11</v>
      </c>
      <c r="S92" s="1">
        <f t="shared" ref="S92:S116" si="134">O92*1</f>
        <v>11</v>
      </c>
      <c r="T92" s="2">
        <v>7</v>
      </c>
      <c r="U92" s="1">
        <f t="shared" ref="U92:U96" si="135">T92*1</f>
        <v>7</v>
      </c>
      <c r="V92" s="1">
        <f t="shared" ref="V92:V96" si="136">U92*1</f>
        <v>7</v>
      </c>
      <c r="W92" s="1">
        <f t="shared" ref="W92:W96" si="137">V92*1</f>
        <v>7</v>
      </c>
      <c r="X92" s="1">
        <f t="shared" ref="X92:X96" si="138">W92*1</f>
        <v>7</v>
      </c>
      <c r="Y92" s="2">
        <v>10</v>
      </c>
      <c r="Z92" s="1">
        <f t="shared" si="109"/>
        <v>80</v>
      </c>
      <c r="AA92" s="2">
        <v>10</v>
      </c>
      <c r="AB92" s="1">
        <f t="shared" si="110"/>
        <v>80</v>
      </c>
      <c r="AC92" s="2">
        <v>5</v>
      </c>
      <c r="AD92" s="1">
        <f t="shared" si="111"/>
        <v>40</v>
      </c>
      <c r="AE92" s="2"/>
      <c r="AF92" s="1">
        <f t="shared" si="98"/>
        <v>0</v>
      </c>
      <c r="AG92" s="1"/>
      <c r="AH92" s="1">
        <f t="shared" ref="AH92:AH98" si="139">AG92*8</f>
        <v>0</v>
      </c>
      <c r="AI92" s="1">
        <f t="shared" ref="AI92:AI98" si="140">AG92*4</f>
        <v>0</v>
      </c>
      <c r="AJ92" s="2"/>
      <c r="AK92" s="1">
        <f t="shared" ref="AK92:AK98" si="141">AJ92*8</f>
        <v>0</v>
      </c>
      <c r="AL92" s="1">
        <f t="shared" ref="AL92:AL98" si="142">AJ92*4</f>
        <v>0</v>
      </c>
      <c r="AM92" s="2"/>
      <c r="AN92" s="1"/>
      <c r="AO92" s="1"/>
      <c r="AP92" s="1">
        <f t="shared" si="117"/>
        <v>57</v>
      </c>
      <c r="AQ92" s="32">
        <f t="shared" si="118"/>
        <v>328</v>
      </c>
    </row>
    <row r="93" spans="2:43" hidden="1" x14ac:dyDescent="0.25">
      <c r="B93" s="10" t="s">
        <v>80</v>
      </c>
      <c r="C93" s="96">
        <v>91</v>
      </c>
      <c r="D93" s="10" t="s">
        <v>170</v>
      </c>
      <c r="E93" s="2">
        <v>11</v>
      </c>
      <c r="F93" s="1">
        <f t="shared" si="123"/>
        <v>11</v>
      </c>
      <c r="G93" s="1">
        <f t="shared" si="124"/>
        <v>11</v>
      </c>
      <c r="H93" s="1">
        <f t="shared" si="125"/>
        <v>11</v>
      </c>
      <c r="I93" s="1">
        <f t="shared" si="126"/>
        <v>11</v>
      </c>
      <c r="J93" s="2">
        <v>11</v>
      </c>
      <c r="K93" s="1">
        <f t="shared" si="127"/>
        <v>11</v>
      </c>
      <c r="L93" s="1">
        <f t="shared" si="128"/>
        <v>11</v>
      </c>
      <c r="M93" s="1">
        <f t="shared" si="129"/>
        <v>11</v>
      </c>
      <c r="N93" s="1">
        <f t="shared" si="130"/>
        <v>11</v>
      </c>
      <c r="O93" s="2">
        <v>10</v>
      </c>
      <c r="P93" s="1">
        <f t="shared" si="131"/>
        <v>10</v>
      </c>
      <c r="Q93" s="1">
        <f t="shared" si="132"/>
        <v>10</v>
      </c>
      <c r="R93" s="1">
        <f t="shared" si="133"/>
        <v>10</v>
      </c>
      <c r="S93" s="1">
        <f t="shared" si="134"/>
        <v>10</v>
      </c>
      <c r="T93" s="2">
        <v>13</v>
      </c>
      <c r="U93" s="1">
        <f t="shared" si="135"/>
        <v>13</v>
      </c>
      <c r="V93" s="1">
        <f t="shared" si="136"/>
        <v>13</v>
      </c>
      <c r="W93" s="1">
        <f t="shared" si="137"/>
        <v>13</v>
      </c>
      <c r="X93" s="1">
        <f t="shared" si="138"/>
        <v>13</v>
      </c>
      <c r="Y93" s="2">
        <v>12</v>
      </c>
      <c r="Z93" s="1">
        <f t="shared" si="109"/>
        <v>96</v>
      </c>
      <c r="AA93" s="2">
        <v>15</v>
      </c>
      <c r="AB93" s="1">
        <f t="shared" si="110"/>
        <v>120</v>
      </c>
      <c r="AC93" s="2">
        <v>13</v>
      </c>
      <c r="AD93" s="1">
        <f t="shared" si="111"/>
        <v>104</v>
      </c>
      <c r="AE93" s="2"/>
      <c r="AF93" s="1">
        <f t="shared" si="98"/>
        <v>0</v>
      </c>
      <c r="AG93" s="1"/>
      <c r="AH93" s="1">
        <f t="shared" si="139"/>
        <v>0</v>
      </c>
      <c r="AI93" s="1">
        <f t="shared" si="140"/>
        <v>0</v>
      </c>
      <c r="AJ93" s="2"/>
      <c r="AK93" s="1">
        <f t="shared" si="141"/>
        <v>0</v>
      </c>
      <c r="AL93" s="1">
        <f t="shared" si="142"/>
        <v>0</v>
      </c>
      <c r="AM93" s="2"/>
      <c r="AN93" s="1"/>
      <c r="AO93" s="1"/>
      <c r="AP93" s="1">
        <f t="shared" si="117"/>
        <v>85</v>
      </c>
      <c r="AQ93" s="32">
        <f t="shared" si="118"/>
        <v>500</v>
      </c>
    </row>
    <row r="94" spans="2:43" hidden="1" x14ac:dyDescent="0.25">
      <c r="B94" s="10" t="s">
        <v>80</v>
      </c>
      <c r="C94" s="96">
        <v>92</v>
      </c>
      <c r="D94" s="10" t="s">
        <v>169</v>
      </c>
      <c r="E94" s="2">
        <v>10</v>
      </c>
      <c r="F94" s="1">
        <f t="shared" si="123"/>
        <v>10</v>
      </c>
      <c r="G94" s="1">
        <f t="shared" si="124"/>
        <v>10</v>
      </c>
      <c r="H94" s="1">
        <f t="shared" si="125"/>
        <v>10</v>
      </c>
      <c r="I94" s="1">
        <f t="shared" si="126"/>
        <v>10</v>
      </c>
      <c r="J94" s="2">
        <v>12</v>
      </c>
      <c r="K94" s="1">
        <f t="shared" si="127"/>
        <v>12</v>
      </c>
      <c r="L94" s="1">
        <f t="shared" si="128"/>
        <v>12</v>
      </c>
      <c r="M94" s="1">
        <f t="shared" si="129"/>
        <v>12</v>
      </c>
      <c r="N94" s="1">
        <f t="shared" si="130"/>
        <v>12</v>
      </c>
      <c r="O94" s="2">
        <v>14</v>
      </c>
      <c r="P94" s="1">
        <f t="shared" si="131"/>
        <v>14</v>
      </c>
      <c r="Q94" s="1">
        <f t="shared" si="132"/>
        <v>14</v>
      </c>
      <c r="R94" s="1">
        <f t="shared" si="133"/>
        <v>14</v>
      </c>
      <c r="S94" s="1">
        <f t="shared" si="134"/>
        <v>14</v>
      </c>
      <c r="T94" s="2">
        <v>9</v>
      </c>
      <c r="U94" s="1">
        <f t="shared" si="135"/>
        <v>9</v>
      </c>
      <c r="V94" s="1">
        <f t="shared" si="136"/>
        <v>9</v>
      </c>
      <c r="W94" s="1">
        <f t="shared" si="137"/>
        <v>9</v>
      </c>
      <c r="X94" s="1">
        <f t="shared" si="138"/>
        <v>9</v>
      </c>
      <c r="Y94" s="2">
        <v>14</v>
      </c>
      <c r="Z94" s="1">
        <f t="shared" si="109"/>
        <v>112</v>
      </c>
      <c r="AA94" s="2">
        <v>18</v>
      </c>
      <c r="AB94" s="1">
        <f t="shared" si="110"/>
        <v>144</v>
      </c>
      <c r="AC94" s="2">
        <v>22</v>
      </c>
      <c r="AD94" s="1">
        <f t="shared" si="111"/>
        <v>176</v>
      </c>
      <c r="AE94" s="2"/>
      <c r="AF94" s="1">
        <f t="shared" si="98"/>
        <v>0</v>
      </c>
      <c r="AG94" s="1"/>
      <c r="AH94" s="1">
        <f t="shared" si="139"/>
        <v>0</v>
      </c>
      <c r="AI94" s="1">
        <f t="shared" si="140"/>
        <v>0</v>
      </c>
      <c r="AJ94" s="2"/>
      <c r="AK94" s="1">
        <f t="shared" si="141"/>
        <v>0</v>
      </c>
      <c r="AL94" s="1">
        <f t="shared" si="142"/>
        <v>0</v>
      </c>
      <c r="AM94" s="2"/>
      <c r="AN94" s="1"/>
      <c r="AO94" s="1"/>
      <c r="AP94" s="1">
        <f t="shared" si="117"/>
        <v>99</v>
      </c>
      <c r="AQ94" s="32">
        <f t="shared" si="118"/>
        <v>612</v>
      </c>
    </row>
    <row r="95" spans="2:43" hidden="1" x14ac:dyDescent="0.25">
      <c r="B95" s="10" t="s">
        <v>80</v>
      </c>
      <c r="C95" s="96">
        <v>93</v>
      </c>
      <c r="D95" s="10" t="s">
        <v>171</v>
      </c>
      <c r="E95" s="2">
        <v>6</v>
      </c>
      <c r="F95" s="1">
        <f t="shared" si="123"/>
        <v>6</v>
      </c>
      <c r="G95" s="1">
        <f t="shared" si="124"/>
        <v>6</v>
      </c>
      <c r="H95" s="1">
        <f t="shared" si="125"/>
        <v>6</v>
      </c>
      <c r="I95" s="1">
        <f t="shared" si="126"/>
        <v>6</v>
      </c>
      <c r="J95" s="2">
        <v>7</v>
      </c>
      <c r="K95" s="1">
        <f t="shared" si="127"/>
        <v>7</v>
      </c>
      <c r="L95" s="1">
        <f t="shared" si="128"/>
        <v>7</v>
      </c>
      <c r="M95" s="1">
        <f t="shared" si="129"/>
        <v>7</v>
      </c>
      <c r="N95" s="1">
        <f t="shared" si="130"/>
        <v>7</v>
      </c>
      <c r="O95" s="2">
        <v>4</v>
      </c>
      <c r="P95" s="1">
        <f t="shared" si="131"/>
        <v>4</v>
      </c>
      <c r="Q95" s="1">
        <f t="shared" si="132"/>
        <v>4</v>
      </c>
      <c r="R95" s="1">
        <f t="shared" si="133"/>
        <v>4</v>
      </c>
      <c r="S95" s="1">
        <f t="shared" si="134"/>
        <v>4</v>
      </c>
      <c r="T95" s="2">
        <v>8</v>
      </c>
      <c r="U95" s="1">
        <f t="shared" si="135"/>
        <v>8</v>
      </c>
      <c r="V95" s="1">
        <f t="shared" si="136"/>
        <v>8</v>
      </c>
      <c r="W95" s="1">
        <f t="shared" si="137"/>
        <v>8</v>
      </c>
      <c r="X95" s="1">
        <f t="shared" si="138"/>
        <v>8</v>
      </c>
      <c r="Y95" s="2">
        <v>4</v>
      </c>
      <c r="Z95" s="1">
        <f t="shared" si="109"/>
        <v>32</v>
      </c>
      <c r="AA95" s="2">
        <v>3</v>
      </c>
      <c r="AB95" s="1">
        <f t="shared" si="110"/>
        <v>24</v>
      </c>
      <c r="AC95" s="2">
        <v>5</v>
      </c>
      <c r="AD95" s="1">
        <f t="shared" si="111"/>
        <v>40</v>
      </c>
      <c r="AE95" s="2"/>
      <c r="AF95" s="1">
        <f t="shared" si="98"/>
        <v>0</v>
      </c>
      <c r="AG95" s="1"/>
      <c r="AH95" s="1">
        <f t="shared" si="139"/>
        <v>0</v>
      </c>
      <c r="AI95" s="1">
        <f t="shared" si="140"/>
        <v>0</v>
      </c>
      <c r="AJ95" s="2"/>
      <c r="AK95" s="1">
        <f t="shared" si="141"/>
        <v>0</v>
      </c>
      <c r="AL95" s="1">
        <f t="shared" si="142"/>
        <v>0</v>
      </c>
      <c r="AM95" s="2"/>
      <c r="AN95" s="1"/>
      <c r="AO95" s="1"/>
      <c r="AP95" s="1">
        <f t="shared" si="117"/>
        <v>37</v>
      </c>
      <c r="AQ95" s="32">
        <f t="shared" si="118"/>
        <v>196</v>
      </c>
    </row>
    <row r="96" spans="2:43" x14ac:dyDescent="0.25">
      <c r="B96" s="10" t="s">
        <v>71</v>
      </c>
      <c r="C96" s="96">
        <v>94</v>
      </c>
      <c r="D96" s="64" t="s">
        <v>172</v>
      </c>
      <c r="E96" s="2">
        <v>9</v>
      </c>
      <c r="F96" s="1">
        <f t="shared" si="123"/>
        <v>9</v>
      </c>
      <c r="G96" s="1">
        <f t="shared" si="124"/>
        <v>9</v>
      </c>
      <c r="H96" s="1">
        <f t="shared" si="125"/>
        <v>9</v>
      </c>
      <c r="I96" s="1">
        <f t="shared" si="126"/>
        <v>9</v>
      </c>
      <c r="J96" s="2">
        <v>29</v>
      </c>
      <c r="K96" s="1">
        <f t="shared" si="127"/>
        <v>29</v>
      </c>
      <c r="L96" s="1">
        <f t="shared" si="128"/>
        <v>29</v>
      </c>
      <c r="M96" s="1">
        <f t="shared" si="129"/>
        <v>29</v>
      </c>
      <c r="N96" s="1">
        <f t="shared" si="130"/>
        <v>29</v>
      </c>
      <c r="O96" s="2">
        <v>18</v>
      </c>
      <c r="P96" s="1">
        <f t="shared" si="131"/>
        <v>18</v>
      </c>
      <c r="Q96" s="1">
        <f t="shared" si="132"/>
        <v>18</v>
      </c>
      <c r="R96" s="1">
        <f t="shared" si="133"/>
        <v>18</v>
      </c>
      <c r="S96" s="1">
        <f t="shared" si="134"/>
        <v>18</v>
      </c>
      <c r="T96" s="2">
        <v>29</v>
      </c>
      <c r="U96" s="1">
        <f t="shared" si="135"/>
        <v>29</v>
      </c>
      <c r="V96" s="1">
        <f t="shared" si="136"/>
        <v>29</v>
      </c>
      <c r="W96" s="1">
        <f t="shared" si="137"/>
        <v>29</v>
      </c>
      <c r="X96" s="1">
        <f t="shared" si="138"/>
        <v>29</v>
      </c>
      <c r="Y96" s="2">
        <v>26</v>
      </c>
      <c r="Z96" s="1">
        <f t="shared" si="109"/>
        <v>208</v>
      </c>
      <c r="AA96" s="2">
        <v>35</v>
      </c>
      <c r="AB96" s="1">
        <f t="shared" si="110"/>
        <v>280</v>
      </c>
      <c r="AC96" s="2">
        <v>29</v>
      </c>
      <c r="AD96" s="1">
        <f t="shared" si="111"/>
        <v>232</v>
      </c>
      <c r="AE96" s="2">
        <v>24</v>
      </c>
      <c r="AF96" s="1">
        <f t="shared" si="98"/>
        <v>192</v>
      </c>
      <c r="AG96" s="1"/>
      <c r="AH96" s="1">
        <f t="shared" si="139"/>
        <v>0</v>
      </c>
      <c r="AI96" s="1">
        <f t="shared" si="140"/>
        <v>0</v>
      </c>
      <c r="AJ96" s="2"/>
      <c r="AK96" s="1">
        <f t="shared" si="141"/>
        <v>0</v>
      </c>
      <c r="AL96" s="1">
        <f t="shared" si="142"/>
        <v>0</v>
      </c>
      <c r="AM96" s="2"/>
      <c r="AN96" s="1"/>
      <c r="AO96" s="1"/>
      <c r="AP96" s="1">
        <f t="shared" si="117"/>
        <v>199</v>
      </c>
      <c r="AQ96" s="32">
        <f t="shared" si="118"/>
        <v>1252</v>
      </c>
    </row>
    <row r="97" spans="2:43" hidden="1" x14ac:dyDescent="0.25">
      <c r="B97" s="10" t="s">
        <v>80</v>
      </c>
      <c r="C97" s="96">
        <v>95</v>
      </c>
      <c r="D97" s="10" t="s">
        <v>227</v>
      </c>
      <c r="E97" s="2"/>
      <c r="F97" s="1">
        <f>E97*1</f>
        <v>0</v>
      </c>
      <c r="G97" s="1">
        <f>E97*1</f>
        <v>0</v>
      </c>
      <c r="H97" s="1">
        <f>E97*1</f>
        <v>0</v>
      </c>
      <c r="I97" s="1">
        <f>E97*1</f>
        <v>0</v>
      </c>
      <c r="J97" s="2"/>
      <c r="K97" s="1">
        <f t="shared" si="127"/>
        <v>0</v>
      </c>
      <c r="L97" s="1">
        <f t="shared" si="128"/>
        <v>0</v>
      </c>
      <c r="M97" s="1">
        <f t="shared" si="129"/>
        <v>0</v>
      </c>
      <c r="N97" s="1">
        <f t="shared" si="130"/>
        <v>0</v>
      </c>
      <c r="O97" s="2"/>
      <c r="P97" s="1">
        <f t="shared" si="131"/>
        <v>0</v>
      </c>
      <c r="Q97" s="1">
        <f t="shared" si="132"/>
        <v>0</v>
      </c>
      <c r="R97" s="1">
        <f t="shared" si="133"/>
        <v>0</v>
      </c>
      <c r="S97" s="1">
        <f t="shared" si="134"/>
        <v>0</v>
      </c>
      <c r="T97" s="2"/>
      <c r="U97" s="1">
        <f t="shared" ref="U97:U116" si="143">T97*1</f>
        <v>0</v>
      </c>
      <c r="V97" s="1">
        <f t="shared" ref="V97:V116" si="144">U97*1</f>
        <v>0</v>
      </c>
      <c r="W97" s="1">
        <f t="shared" ref="W97:W116" si="145">V97*1</f>
        <v>0</v>
      </c>
      <c r="X97" s="1">
        <f t="shared" ref="X97:X116" si="146">W97*1</f>
        <v>0</v>
      </c>
      <c r="Y97" s="2"/>
      <c r="Z97" s="1">
        <f t="shared" si="109"/>
        <v>0</v>
      </c>
      <c r="AA97" s="2"/>
      <c r="AB97" s="1">
        <f t="shared" si="110"/>
        <v>0</v>
      </c>
      <c r="AC97" s="2"/>
      <c r="AD97" s="1">
        <f t="shared" si="111"/>
        <v>0</v>
      </c>
      <c r="AE97" s="2">
        <v>55</v>
      </c>
      <c r="AF97" s="1">
        <f t="shared" si="98"/>
        <v>440</v>
      </c>
      <c r="AG97" s="1">
        <v>141</v>
      </c>
      <c r="AH97" s="1">
        <f t="shared" si="139"/>
        <v>1128</v>
      </c>
      <c r="AI97" s="1">
        <f t="shared" si="140"/>
        <v>564</v>
      </c>
      <c r="AJ97" s="2">
        <v>97</v>
      </c>
      <c r="AK97" s="1">
        <f t="shared" si="141"/>
        <v>776</v>
      </c>
      <c r="AL97" s="1">
        <f t="shared" si="142"/>
        <v>388</v>
      </c>
      <c r="AM97" s="2"/>
      <c r="AN97" s="1"/>
      <c r="AO97" s="1"/>
      <c r="AP97" s="1">
        <f t="shared" si="117"/>
        <v>293</v>
      </c>
      <c r="AQ97" s="32">
        <f t="shared" si="118"/>
        <v>3296</v>
      </c>
    </row>
    <row r="98" spans="2:43" hidden="1" x14ac:dyDescent="0.25">
      <c r="B98" s="10" t="s">
        <v>80</v>
      </c>
      <c r="C98" s="96">
        <v>96</v>
      </c>
      <c r="D98" s="10" t="s">
        <v>173</v>
      </c>
      <c r="E98" s="2">
        <v>25</v>
      </c>
      <c r="F98" s="1">
        <f t="shared" si="123"/>
        <v>25</v>
      </c>
      <c r="G98" s="1">
        <f t="shared" ref="G98:G116" si="147">E98*1</f>
        <v>25</v>
      </c>
      <c r="H98" s="1">
        <f t="shared" ref="H98:H116" si="148">E98*1</f>
        <v>25</v>
      </c>
      <c r="I98" s="1">
        <f t="shared" ref="I98:I116" si="149">E98*1</f>
        <v>25</v>
      </c>
      <c r="J98" s="2">
        <v>20</v>
      </c>
      <c r="K98" s="1">
        <f t="shared" si="127"/>
        <v>20</v>
      </c>
      <c r="L98" s="1">
        <f t="shared" si="128"/>
        <v>20</v>
      </c>
      <c r="M98" s="1">
        <f t="shared" si="129"/>
        <v>20</v>
      </c>
      <c r="N98" s="1">
        <f t="shared" si="130"/>
        <v>20</v>
      </c>
      <c r="O98" s="2">
        <v>28</v>
      </c>
      <c r="P98" s="1">
        <f t="shared" si="131"/>
        <v>28</v>
      </c>
      <c r="Q98" s="1">
        <f t="shared" si="132"/>
        <v>28</v>
      </c>
      <c r="R98" s="1">
        <f t="shared" si="133"/>
        <v>28</v>
      </c>
      <c r="S98" s="1">
        <f t="shared" si="134"/>
        <v>28</v>
      </c>
      <c r="T98" s="2">
        <v>30</v>
      </c>
      <c r="U98" s="1">
        <f t="shared" si="143"/>
        <v>30</v>
      </c>
      <c r="V98" s="1">
        <f t="shared" si="144"/>
        <v>30</v>
      </c>
      <c r="W98" s="1">
        <f t="shared" si="145"/>
        <v>30</v>
      </c>
      <c r="X98" s="1">
        <f t="shared" si="146"/>
        <v>30</v>
      </c>
      <c r="Y98" s="2">
        <v>30</v>
      </c>
      <c r="Z98" s="1">
        <f t="shared" si="109"/>
        <v>240</v>
      </c>
      <c r="AA98" s="2">
        <v>45</v>
      </c>
      <c r="AB98" s="1">
        <f t="shared" si="110"/>
        <v>360</v>
      </c>
      <c r="AC98" s="2">
        <v>28</v>
      </c>
      <c r="AD98" s="1">
        <f t="shared" si="111"/>
        <v>224</v>
      </c>
      <c r="AE98" s="2"/>
      <c r="AF98" s="1">
        <f t="shared" si="98"/>
        <v>0</v>
      </c>
      <c r="AG98" s="1"/>
      <c r="AH98" s="1">
        <f t="shared" si="139"/>
        <v>0</v>
      </c>
      <c r="AI98" s="1">
        <f t="shared" si="140"/>
        <v>0</v>
      </c>
      <c r="AJ98" s="2"/>
      <c r="AK98" s="1">
        <f t="shared" si="141"/>
        <v>0</v>
      </c>
      <c r="AL98" s="1">
        <f t="shared" si="142"/>
        <v>0</v>
      </c>
      <c r="AM98" s="2"/>
      <c r="AN98" s="1"/>
      <c r="AO98" s="1"/>
      <c r="AP98" s="1">
        <f t="shared" si="117"/>
        <v>206</v>
      </c>
      <c r="AQ98" s="32">
        <f t="shared" si="118"/>
        <v>1236</v>
      </c>
    </row>
    <row r="99" spans="2:43" hidden="1" x14ac:dyDescent="0.25">
      <c r="B99" s="10" t="s">
        <v>80</v>
      </c>
      <c r="C99" s="96">
        <v>97</v>
      </c>
      <c r="D99" s="10" t="s">
        <v>174</v>
      </c>
      <c r="E99" s="2">
        <v>2</v>
      </c>
      <c r="F99" s="1">
        <f t="shared" si="123"/>
        <v>2</v>
      </c>
      <c r="G99" s="1">
        <f t="shared" si="147"/>
        <v>2</v>
      </c>
      <c r="H99" s="1">
        <f t="shared" si="148"/>
        <v>2</v>
      </c>
      <c r="I99" s="1">
        <f t="shared" si="149"/>
        <v>2</v>
      </c>
      <c r="J99" s="2">
        <v>7</v>
      </c>
      <c r="K99" s="1">
        <f>J99*1</f>
        <v>7</v>
      </c>
      <c r="L99" s="1">
        <f t="shared" si="128"/>
        <v>7</v>
      </c>
      <c r="M99" s="1">
        <f t="shared" si="129"/>
        <v>7</v>
      </c>
      <c r="N99" s="1">
        <f t="shared" si="130"/>
        <v>7</v>
      </c>
      <c r="O99" s="2">
        <v>9</v>
      </c>
      <c r="P99" s="1">
        <f t="shared" si="131"/>
        <v>9</v>
      </c>
      <c r="Q99" s="1">
        <f t="shared" si="132"/>
        <v>9</v>
      </c>
      <c r="R99" s="1">
        <f t="shared" si="133"/>
        <v>9</v>
      </c>
      <c r="S99" s="1">
        <f t="shared" si="134"/>
        <v>9</v>
      </c>
      <c r="T99" s="2">
        <v>6</v>
      </c>
      <c r="U99" s="1">
        <f t="shared" si="143"/>
        <v>6</v>
      </c>
      <c r="V99" s="1">
        <f t="shared" si="144"/>
        <v>6</v>
      </c>
      <c r="W99" s="1">
        <f t="shared" si="145"/>
        <v>6</v>
      </c>
      <c r="X99" s="1">
        <f t="shared" si="146"/>
        <v>6</v>
      </c>
      <c r="Y99" s="2">
        <v>8</v>
      </c>
      <c r="Z99" s="1">
        <f t="shared" si="109"/>
        <v>64</v>
      </c>
      <c r="AA99" s="2">
        <v>4</v>
      </c>
      <c r="AB99" s="1">
        <f>AA99*8</f>
        <v>32</v>
      </c>
      <c r="AC99" s="2">
        <v>6</v>
      </c>
      <c r="AD99" s="1">
        <f t="shared" si="111"/>
        <v>48</v>
      </c>
      <c r="AE99" s="2"/>
      <c r="AF99" s="1">
        <f t="shared" si="98"/>
        <v>0</v>
      </c>
      <c r="AG99" s="1"/>
      <c r="AH99" s="1">
        <f>AG99*8</f>
        <v>0</v>
      </c>
      <c r="AI99" s="1">
        <f>AG99*4</f>
        <v>0</v>
      </c>
      <c r="AJ99" s="2"/>
      <c r="AK99" s="1">
        <f>AJ99*8</f>
        <v>0</v>
      </c>
      <c r="AL99" s="1">
        <f>AJ99*4</f>
        <v>0</v>
      </c>
      <c r="AM99" s="2"/>
      <c r="AN99" s="1"/>
      <c r="AO99" s="1"/>
      <c r="AP99" s="1">
        <f>E99+AM99+AJ99+AG99+AE99+AC99+AA99+Y99+T99+O99+J99</f>
        <v>42</v>
      </c>
      <c r="AQ99" s="32">
        <f t="shared" si="118"/>
        <v>240</v>
      </c>
    </row>
    <row r="100" spans="2:43" hidden="1" x14ac:dyDescent="0.25">
      <c r="B100" s="10" t="s">
        <v>80</v>
      </c>
      <c r="C100" s="96">
        <v>98</v>
      </c>
      <c r="D100" s="10" t="s">
        <v>204</v>
      </c>
      <c r="E100" s="2"/>
      <c r="F100" s="1">
        <f t="shared" si="123"/>
        <v>0</v>
      </c>
      <c r="G100" s="1">
        <f t="shared" si="147"/>
        <v>0</v>
      </c>
      <c r="H100" s="1">
        <f t="shared" si="148"/>
        <v>0</v>
      </c>
      <c r="I100" s="1">
        <f t="shared" si="149"/>
        <v>0</v>
      </c>
      <c r="J100" s="2"/>
      <c r="K100" s="1">
        <f t="shared" ref="K100:K116" si="150">J100*1</f>
        <v>0</v>
      </c>
      <c r="L100" s="1">
        <f t="shared" si="128"/>
        <v>0</v>
      </c>
      <c r="M100" s="1">
        <f t="shared" si="129"/>
        <v>0</v>
      </c>
      <c r="N100" s="1">
        <f t="shared" si="130"/>
        <v>0</v>
      </c>
      <c r="O100" s="2"/>
      <c r="P100" s="1">
        <f t="shared" si="131"/>
        <v>0</v>
      </c>
      <c r="Q100" s="1">
        <f t="shared" si="132"/>
        <v>0</v>
      </c>
      <c r="R100" s="1">
        <f t="shared" si="133"/>
        <v>0</v>
      </c>
      <c r="S100" s="1">
        <f t="shared" si="134"/>
        <v>0</v>
      </c>
      <c r="T100" s="2"/>
      <c r="U100" s="1">
        <f t="shared" si="143"/>
        <v>0</v>
      </c>
      <c r="V100" s="1">
        <f t="shared" si="144"/>
        <v>0</v>
      </c>
      <c r="W100" s="1">
        <f t="shared" si="145"/>
        <v>0</v>
      </c>
      <c r="X100" s="1">
        <f t="shared" si="146"/>
        <v>0</v>
      </c>
      <c r="Y100" s="2"/>
      <c r="Z100" s="1">
        <f t="shared" si="109"/>
        <v>0</v>
      </c>
      <c r="AA100" s="2"/>
      <c r="AB100" s="1">
        <f t="shared" ref="AB100:AB116" si="151">AA100*8</f>
        <v>0</v>
      </c>
      <c r="AC100" s="2"/>
      <c r="AD100" s="1">
        <f t="shared" si="111"/>
        <v>0</v>
      </c>
      <c r="AE100" s="2">
        <v>92</v>
      </c>
      <c r="AF100" s="1">
        <f t="shared" si="98"/>
        <v>736</v>
      </c>
      <c r="AG100" s="1">
        <v>136</v>
      </c>
      <c r="AH100" s="1">
        <f t="shared" ref="AH100:AH116" si="152">AG100*8</f>
        <v>1088</v>
      </c>
      <c r="AI100" s="1">
        <f t="shared" ref="AI100:AI116" si="153">AG100*4</f>
        <v>544</v>
      </c>
      <c r="AJ100" s="2">
        <v>97</v>
      </c>
      <c r="AK100" s="1">
        <f t="shared" ref="AK100:AK116" si="154">AJ100*8</f>
        <v>776</v>
      </c>
      <c r="AL100" s="1">
        <f t="shared" ref="AL100:AL116" si="155">AJ100*4</f>
        <v>388</v>
      </c>
      <c r="AM100" s="2"/>
      <c r="AN100" s="1"/>
      <c r="AO100" s="1"/>
      <c r="AP100" s="1">
        <f t="shared" ref="AP100:AP116" si="156">E100+AM100+AJ100+AG100+AE100+AC100+AA100+Y100+T100+O100+J100</f>
        <v>325</v>
      </c>
      <c r="AQ100" s="32">
        <f t="shared" si="118"/>
        <v>3532</v>
      </c>
    </row>
    <row r="101" spans="2:43" x14ac:dyDescent="0.25">
      <c r="B101" s="10" t="s">
        <v>71</v>
      </c>
      <c r="C101" s="96">
        <v>99</v>
      </c>
      <c r="D101" s="64" t="s">
        <v>214</v>
      </c>
      <c r="E101" s="2">
        <v>28</v>
      </c>
      <c r="F101" s="1">
        <f t="shared" si="123"/>
        <v>28</v>
      </c>
      <c r="G101" s="1">
        <f t="shared" si="147"/>
        <v>28</v>
      </c>
      <c r="H101" s="1">
        <f t="shared" si="148"/>
        <v>28</v>
      </c>
      <c r="I101" s="1">
        <f t="shared" si="149"/>
        <v>28</v>
      </c>
      <c r="J101" s="2">
        <v>48</v>
      </c>
      <c r="K101" s="1">
        <f t="shared" si="150"/>
        <v>48</v>
      </c>
      <c r="L101" s="1">
        <f t="shared" si="128"/>
        <v>48</v>
      </c>
      <c r="M101" s="1">
        <f t="shared" si="129"/>
        <v>48</v>
      </c>
      <c r="N101" s="1">
        <f t="shared" si="130"/>
        <v>48</v>
      </c>
      <c r="O101" s="2">
        <v>48</v>
      </c>
      <c r="P101" s="1">
        <f t="shared" si="131"/>
        <v>48</v>
      </c>
      <c r="Q101" s="1">
        <f t="shared" si="132"/>
        <v>48</v>
      </c>
      <c r="R101" s="1">
        <f t="shared" si="133"/>
        <v>48</v>
      </c>
      <c r="S101" s="1">
        <f t="shared" si="134"/>
        <v>48</v>
      </c>
      <c r="T101" s="2">
        <v>50</v>
      </c>
      <c r="U101" s="1">
        <f t="shared" si="143"/>
        <v>50</v>
      </c>
      <c r="V101" s="1">
        <f t="shared" si="144"/>
        <v>50</v>
      </c>
      <c r="W101" s="1">
        <f t="shared" si="145"/>
        <v>50</v>
      </c>
      <c r="X101" s="1">
        <f t="shared" si="146"/>
        <v>50</v>
      </c>
      <c r="Y101" s="2">
        <v>58</v>
      </c>
      <c r="Z101" s="1">
        <f t="shared" si="109"/>
        <v>464</v>
      </c>
      <c r="AA101" s="2">
        <v>60</v>
      </c>
      <c r="AB101" s="1">
        <f t="shared" si="151"/>
        <v>480</v>
      </c>
      <c r="AC101" s="2">
        <v>54</v>
      </c>
      <c r="AD101" s="1">
        <f t="shared" si="111"/>
        <v>432</v>
      </c>
      <c r="AE101" s="2"/>
      <c r="AF101" s="1">
        <f t="shared" si="98"/>
        <v>0</v>
      </c>
      <c r="AG101" s="1"/>
      <c r="AH101" s="1">
        <f t="shared" si="152"/>
        <v>0</v>
      </c>
      <c r="AI101" s="1">
        <f t="shared" si="153"/>
        <v>0</v>
      </c>
      <c r="AJ101" s="2"/>
      <c r="AK101" s="1">
        <f t="shared" si="154"/>
        <v>0</v>
      </c>
      <c r="AL101" s="1">
        <f t="shared" si="155"/>
        <v>0</v>
      </c>
      <c r="AM101" s="2"/>
      <c r="AN101" s="1"/>
      <c r="AO101" s="1"/>
      <c r="AP101" s="1">
        <f t="shared" si="156"/>
        <v>346</v>
      </c>
      <c r="AQ101" s="32">
        <f t="shared" si="118"/>
        <v>2072</v>
      </c>
    </row>
    <row r="102" spans="2:43" x14ac:dyDescent="0.25">
      <c r="B102" s="10" t="s">
        <v>71</v>
      </c>
      <c r="C102" s="96">
        <v>100</v>
      </c>
      <c r="D102" s="64" t="s">
        <v>215</v>
      </c>
      <c r="E102" s="2">
        <v>32</v>
      </c>
      <c r="F102" s="1">
        <f t="shared" si="123"/>
        <v>32</v>
      </c>
      <c r="G102" s="1">
        <f t="shared" si="147"/>
        <v>32</v>
      </c>
      <c r="H102" s="1">
        <f t="shared" si="148"/>
        <v>32</v>
      </c>
      <c r="I102" s="1">
        <f t="shared" si="149"/>
        <v>32</v>
      </c>
      <c r="J102" s="2">
        <v>31</v>
      </c>
      <c r="K102" s="1">
        <f t="shared" si="150"/>
        <v>31</v>
      </c>
      <c r="L102" s="1">
        <f t="shared" si="128"/>
        <v>31</v>
      </c>
      <c r="M102" s="1">
        <f t="shared" si="129"/>
        <v>31</v>
      </c>
      <c r="N102" s="1">
        <f t="shared" si="130"/>
        <v>31</v>
      </c>
      <c r="O102" s="2">
        <v>20</v>
      </c>
      <c r="P102" s="1">
        <f t="shared" si="131"/>
        <v>20</v>
      </c>
      <c r="Q102" s="1">
        <f t="shared" si="132"/>
        <v>20</v>
      </c>
      <c r="R102" s="1">
        <f t="shared" si="133"/>
        <v>20</v>
      </c>
      <c r="S102" s="1">
        <f t="shared" si="134"/>
        <v>20</v>
      </c>
      <c r="T102" s="2">
        <v>24</v>
      </c>
      <c r="U102" s="1">
        <f t="shared" si="143"/>
        <v>24</v>
      </c>
      <c r="V102" s="1">
        <f t="shared" si="144"/>
        <v>24</v>
      </c>
      <c r="W102" s="1">
        <f t="shared" si="145"/>
        <v>24</v>
      </c>
      <c r="X102" s="1">
        <f t="shared" si="146"/>
        <v>24</v>
      </c>
      <c r="Y102" s="2">
        <v>40</v>
      </c>
      <c r="Z102" s="1">
        <f t="shared" si="109"/>
        <v>320</v>
      </c>
      <c r="AA102" s="2">
        <v>62</v>
      </c>
      <c r="AB102" s="1">
        <f t="shared" si="151"/>
        <v>496</v>
      </c>
      <c r="AC102" s="2">
        <v>43</v>
      </c>
      <c r="AD102" s="1">
        <f t="shared" si="111"/>
        <v>344</v>
      </c>
      <c r="AE102" s="2">
        <v>41</v>
      </c>
      <c r="AF102" s="1">
        <f t="shared" si="98"/>
        <v>328</v>
      </c>
      <c r="AG102" s="1"/>
      <c r="AH102" s="1">
        <f t="shared" si="152"/>
        <v>0</v>
      </c>
      <c r="AI102" s="1">
        <f t="shared" si="153"/>
        <v>0</v>
      </c>
      <c r="AJ102" s="2"/>
      <c r="AK102" s="1">
        <f t="shared" si="154"/>
        <v>0</v>
      </c>
      <c r="AL102" s="1">
        <f t="shared" si="155"/>
        <v>0</v>
      </c>
      <c r="AM102" s="2"/>
      <c r="AN102" s="1"/>
      <c r="AO102" s="1"/>
      <c r="AP102" s="1">
        <f t="shared" si="156"/>
        <v>293</v>
      </c>
      <c r="AQ102" s="32">
        <f t="shared" si="118"/>
        <v>1916</v>
      </c>
    </row>
    <row r="103" spans="2:43" x14ac:dyDescent="0.25">
      <c r="B103" s="10" t="s">
        <v>71</v>
      </c>
      <c r="C103" s="96">
        <v>101</v>
      </c>
      <c r="D103" s="64" t="s">
        <v>216</v>
      </c>
      <c r="E103" s="2">
        <v>45</v>
      </c>
      <c r="F103" s="1">
        <f t="shared" si="123"/>
        <v>45</v>
      </c>
      <c r="G103" s="1">
        <f t="shared" si="147"/>
        <v>45</v>
      </c>
      <c r="H103" s="1">
        <f t="shared" si="148"/>
        <v>45</v>
      </c>
      <c r="I103" s="1">
        <f t="shared" si="149"/>
        <v>45</v>
      </c>
      <c r="J103" s="2">
        <v>68</v>
      </c>
      <c r="K103" s="1">
        <f t="shared" si="150"/>
        <v>68</v>
      </c>
      <c r="L103" s="1">
        <f t="shared" si="128"/>
        <v>68</v>
      </c>
      <c r="M103" s="1">
        <f t="shared" si="129"/>
        <v>68</v>
      </c>
      <c r="N103" s="1">
        <f t="shared" si="130"/>
        <v>68</v>
      </c>
      <c r="O103" s="2">
        <v>65</v>
      </c>
      <c r="P103" s="1">
        <f t="shared" si="131"/>
        <v>65</v>
      </c>
      <c r="Q103" s="1">
        <f t="shared" si="132"/>
        <v>65</v>
      </c>
      <c r="R103" s="1">
        <f t="shared" si="133"/>
        <v>65</v>
      </c>
      <c r="S103" s="1">
        <f t="shared" si="134"/>
        <v>65</v>
      </c>
      <c r="T103" s="2">
        <v>75</v>
      </c>
      <c r="U103" s="1">
        <f t="shared" si="143"/>
        <v>75</v>
      </c>
      <c r="V103" s="1">
        <f t="shared" si="144"/>
        <v>75</v>
      </c>
      <c r="W103" s="1">
        <f t="shared" si="145"/>
        <v>75</v>
      </c>
      <c r="X103" s="1">
        <f t="shared" si="146"/>
        <v>75</v>
      </c>
      <c r="Y103" s="2">
        <v>77</v>
      </c>
      <c r="Z103" s="1">
        <f t="shared" si="109"/>
        <v>616</v>
      </c>
      <c r="AA103" s="2">
        <v>85</v>
      </c>
      <c r="AB103" s="1">
        <f t="shared" si="151"/>
        <v>680</v>
      </c>
      <c r="AC103" s="2">
        <v>55</v>
      </c>
      <c r="AD103" s="1">
        <f t="shared" si="111"/>
        <v>440</v>
      </c>
      <c r="AE103" s="2"/>
      <c r="AF103" s="1">
        <f t="shared" si="98"/>
        <v>0</v>
      </c>
      <c r="AG103" s="1"/>
      <c r="AH103" s="1">
        <f t="shared" si="152"/>
        <v>0</v>
      </c>
      <c r="AI103" s="1">
        <f t="shared" si="153"/>
        <v>0</v>
      </c>
      <c r="AJ103" s="2"/>
      <c r="AK103" s="1">
        <f t="shared" si="154"/>
        <v>0</v>
      </c>
      <c r="AL103" s="1">
        <f t="shared" si="155"/>
        <v>0</v>
      </c>
      <c r="AM103" s="2"/>
      <c r="AN103" s="1"/>
      <c r="AO103" s="1"/>
      <c r="AP103" s="1">
        <f t="shared" si="156"/>
        <v>470</v>
      </c>
      <c r="AQ103" s="32">
        <f t="shared" si="118"/>
        <v>2748</v>
      </c>
    </row>
    <row r="104" spans="2:43" x14ac:dyDescent="0.25">
      <c r="B104" s="10" t="s">
        <v>71</v>
      </c>
      <c r="C104" s="96">
        <v>102</v>
      </c>
      <c r="D104" s="64" t="s">
        <v>225</v>
      </c>
      <c r="E104" s="2">
        <v>14</v>
      </c>
      <c r="F104" s="1">
        <f t="shared" si="123"/>
        <v>14</v>
      </c>
      <c r="G104" s="1">
        <f t="shared" si="147"/>
        <v>14</v>
      </c>
      <c r="H104" s="1">
        <f t="shared" si="148"/>
        <v>14</v>
      </c>
      <c r="I104" s="1">
        <f t="shared" si="149"/>
        <v>14</v>
      </c>
      <c r="J104" s="2">
        <v>24</v>
      </c>
      <c r="K104" s="1">
        <f t="shared" si="150"/>
        <v>24</v>
      </c>
      <c r="L104" s="1">
        <f t="shared" si="128"/>
        <v>24</v>
      </c>
      <c r="M104" s="1">
        <f t="shared" si="129"/>
        <v>24</v>
      </c>
      <c r="N104" s="1">
        <f t="shared" si="130"/>
        <v>24</v>
      </c>
      <c r="O104" s="2">
        <v>14</v>
      </c>
      <c r="P104" s="1">
        <f t="shared" si="131"/>
        <v>14</v>
      </c>
      <c r="Q104" s="1">
        <f t="shared" si="132"/>
        <v>14</v>
      </c>
      <c r="R104" s="1">
        <f t="shared" si="133"/>
        <v>14</v>
      </c>
      <c r="S104" s="1">
        <f t="shared" si="134"/>
        <v>14</v>
      </c>
      <c r="T104" s="2">
        <v>25</v>
      </c>
      <c r="U104" s="1">
        <f t="shared" si="143"/>
        <v>25</v>
      </c>
      <c r="V104" s="1">
        <f t="shared" si="144"/>
        <v>25</v>
      </c>
      <c r="W104" s="1">
        <f t="shared" si="145"/>
        <v>25</v>
      </c>
      <c r="X104" s="1">
        <f t="shared" si="146"/>
        <v>25</v>
      </c>
      <c r="Y104" s="2">
        <v>28</v>
      </c>
      <c r="Z104" s="1">
        <f t="shared" si="109"/>
        <v>224</v>
      </c>
      <c r="AA104" s="2">
        <v>23</v>
      </c>
      <c r="AB104" s="1">
        <f t="shared" si="151"/>
        <v>184</v>
      </c>
      <c r="AC104" s="2">
        <v>31</v>
      </c>
      <c r="AD104" s="1">
        <f t="shared" si="111"/>
        <v>248</v>
      </c>
      <c r="AE104" s="2"/>
      <c r="AF104" s="1">
        <f t="shared" si="98"/>
        <v>0</v>
      </c>
      <c r="AG104" s="1"/>
      <c r="AH104" s="1">
        <f t="shared" si="152"/>
        <v>0</v>
      </c>
      <c r="AI104" s="1">
        <f t="shared" si="153"/>
        <v>0</v>
      </c>
      <c r="AJ104" s="2"/>
      <c r="AK104" s="1">
        <f t="shared" si="154"/>
        <v>0</v>
      </c>
      <c r="AL104" s="1">
        <f t="shared" si="155"/>
        <v>0</v>
      </c>
      <c r="AM104" s="2"/>
      <c r="AN104" s="1"/>
      <c r="AO104" s="1"/>
      <c r="AP104" s="1">
        <f t="shared" si="156"/>
        <v>159</v>
      </c>
      <c r="AQ104" s="32">
        <f t="shared" si="118"/>
        <v>964</v>
      </c>
    </row>
    <row r="105" spans="2:43" x14ac:dyDescent="0.25">
      <c r="B105" s="10" t="s">
        <v>71</v>
      </c>
      <c r="C105" s="96">
        <v>103</v>
      </c>
      <c r="D105" s="10" t="s">
        <v>238</v>
      </c>
      <c r="E105" s="2"/>
      <c r="F105" s="1">
        <f t="shared" si="123"/>
        <v>0</v>
      </c>
      <c r="G105" s="1">
        <f t="shared" si="147"/>
        <v>0</v>
      </c>
      <c r="H105" s="1">
        <f t="shared" si="148"/>
        <v>0</v>
      </c>
      <c r="I105" s="1">
        <f t="shared" si="149"/>
        <v>0</v>
      </c>
      <c r="J105" s="2"/>
      <c r="K105" s="1">
        <f t="shared" si="150"/>
        <v>0</v>
      </c>
      <c r="L105" s="1">
        <f t="shared" si="128"/>
        <v>0</v>
      </c>
      <c r="M105" s="1">
        <f t="shared" si="129"/>
        <v>0</v>
      </c>
      <c r="N105" s="1">
        <f t="shared" si="130"/>
        <v>0</v>
      </c>
      <c r="O105" s="2"/>
      <c r="P105" s="1">
        <f t="shared" si="131"/>
        <v>0</v>
      </c>
      <c r="Q105" s="1">
        <f t="shared" si="132"/>
        <v>0</v>
      </c>
      <c r="R105" s="1">
        <f t="shared" si="133"/>
        <v>0</v>
      </c>
      <c r="S105" s="1">
        <f t="shared" si="134"/>
        <v>0</v>
      </c>
      <c r="T105" s="2"/>
      <c r="U105" s="1">
        <f t="shared" si="143"/>
        <v>0</v>
      </c>
      <c r="V105" s="1">
        <f t="shared" si="144"/>
        <v>0</v>
      </c>
      <c r="W105" s="1">
        <f t="shared" si="145"/>
        <v>0</v>
      </c>
      <c r="X105" s="1">
        <f t="shared" si="146"/>
        <v>0</v>
      </c>
      <c r="Y105" s="2"/>
      <c r="Z105" s="1">
        <f t="shared" si="109"/>
        <v>0</v>
      </c>
      <c r="AA105" s="2"/>
      <c r="AB105" s="1">
        <f t="shared" si="151"/>
        <v>0</v>
      </c>
      <c r="AC105" s="2"/>
      <c r="AD105" s="1">
        <f t="shared" si="111"/>
        <v>0</v>
      </c>
      <c r="AE105" s="2">
        <v>52</v>
      </c>
      <c r="AF105" s="1">
        <f t="shared" si="98"/>
        <v>416</v>
      </c>
      <c r="AG105" s="1">
        <v>40</v>
      </c>
      <c r="AH105" s="1">
        <f t="shared" si="152"/>
        <v>320</v>
      </c>
      <c r="AI105" s="1">
        <f t="shared" si="153"/>
        <v>160</v>
      </c>
      <c r="AJ105" s="2">
        <v>30</v>
      </c>
      <c r="AK105" s="1">
        <f t="shared" si="154"/>
        <v>240</v>
      </c>
      <c r="AL105" s="1">
        <f t="shared" si="155"/>
        <v>120</v>
      </c>
      <c r="AM105" s="2"/>
      <c r="AN105" s="1"/>
      <c r="AO105" s="1"/>
      <c r="AP105" s="1">
        <f t="shared" si="156"/>
        <v>122</v>
      </c>
      <c r="AQ105" s="32">
        <f t="shared" si="118"/>
        <v>1256</v>
      </c>
    </row>
    <row r="106" spans="2:43" hidden="1" x14ac:dyDescent="0.25">
      <c r="B106" s="10" t="s">
        <v>80</v>
      </c>
      <c r="C106" s="96">
        <v>104</v>
      </c>
      <c r="D106" s="10" t="s">
        <v>211</v>
      </c>
      <c r="E106" s="2">
        <v>5</v>
      </c>
      <c r="F106" s="1">
        <f t="shared" si="123"/>
        <v>5</v>
      </c>
      <c r="G106" s="1">
        <f t="shared" si="147"/>
        <v>5</v>
      </c>
      <c r="H106" s="1">
        <f t="shared" si="148"/>
        <v>5</v>
      </c>
      <c r="I106" s="1">
        <f t="shared" si="149"/>
        <v>5</v>
      </c>
      <c r="J106" s="2">
        <v>17</v>
      </c>
      <c r="K106" s="1">
        <f t="shared" si="150"/>
        <v>17</v>
      </c>
      <c r="L106" s="1">
        <f t="shared" si="128"/>
        <v>17</v>
      </c>
      <c r="M106" s="1">
        <f t="shared" si="129"/>
        <v>17</v>
      </c>
      <c r="N106" s="1">
        <f t="shared" si="130"/>
        <v>17</v>
      </c>
      <c r="O106" s="2">
        <v>15</v>
      </c>
      <c r="P106" s="1">
        <f t="shared" si="131"/>
        <v>15</v>
      </c>
      <c r="Q106" s="1">
        <f t="shared" si="132"/>
        <v>15</v>
      </c>
      <c r="R106" s="1">
        <f t="shared" si="133"/>
        <v>15</v>
      </c>
      <c r="S106" s="1">
        <f t="shared" si="134"/>
        <v>15</v>
      </c>
      <c r="T106" s="2">
        <v>16</v>
      </c>
      <c r="U106" s="1">
        <f t="shared" si="143"/>
        <v>16</v>
      </c>
      <c r="V106" s="1">
        <f t="shared" si="144"/>
        <v>16</v>
      </c>
      <c r="W106" s="1">
        <f t="shared" si="145"/>
        <v>16</v>
      </c>
      <c r="X106" s="1">
        <f t="shared" si="146"/>
        <v>16</v>
      </c>
      <c r="Y106" s="2">
        <v>21</v>
      </c>
      <c r="Z106" s="1">
        <f t="shared" si="109"/>
        <v>168</v>
      </c>
      <c r="AA106" s="2">
        <v>14</v>
      </c>
      <c r="AB106" s="1">
        <f t="shared" si="151"/>
        <v>112</v>
      </c>
      <c r="AC106" s="2">
        <v>16</v>
      </c>
      <c r="AD106" s="1">
        <f t="shared" si="111"/>
        <v>128</v>
      </c>
      <c r="AE106" s="2"/>
      <c r="AF106" s="1">
        <f t="shared" si="98"/>
        <v>0</v>
      </c>
      <c r="AG106" s="1"/>
      <c r="AH106" s="1">
        <f t="shared" si="152"/>
        <v>0</v>
      </c>
      <c r="AI106" s="1">
        <f t="shared" si="153"/>
        <v>0</v>
      </c>
      <c r="AJ106" s="2"/>
      <c r="AK106" s="1">
        <f t="shared" si="154"/>
        <v>0</v>
      </c>
      <c r="AL106" s="1">
        <f t="shared" si="155"/>
        <v>0</v>
      </c>
      <c r="AM106" s="2"/>
      <c r="AN106" s="1"/>
      <c r="AO106" s="1"/>
      <c r="AP106" s="1">
        <f t="shared" si="156"/>
        <v>104</v>
      </c>
      <c r="AQ106" s="32">
        <f t="shared" si="118"/>
        <v>620</v>
      </c>
    </row>
    <row r="107" spans="2:43" hidden="1" x14ac:dyDescent="0.25">
      <c r="B107" s="10" t="s">
        <v>80</v>
      </c>
      <c r="C107" s="96">
        <v>105</v>
      </c>
      <c r="D107" s="10" t="s">
        <v>239</v>
      </c>
      <c r="E107" s="2">
        <v>6</v>
      </c>
      <c r="F107" s="1">
        <f t="shared" si="123"/>
        <v>6</v>
      </c>
      <c r="G107" s="1">
        <f t="shared" si="147"/>
        <v>6</v>
      </c>
      <c r="H107" s="1">
        <f t="shared" si="148"/>
        <v>6</v>
      </c>
      <c r="I107" s="1">
        <f t="shared" si="149"/>
        <v>6</v>
      </c>
      <c r="J107" s="2">
        <v>14</v>
      </c>
      <c r="K107" s="1">
        <f t="shared" si="150"/>
        <v>14</v>
      </c>
      <c r="L107" s="1">
        <f t="shared" si="128"/>
        <v>14</v>
      </c>
      <c r="M107" s="1">
        <f t="shared" si="129"/>
        <v>14</v>
      </c>
      <c r="N107" s="1">
        <f t="shared" si="130"/>
        <v>14</v>
      </c>
      <c r="O107" s="2">
        <v>25</v>
      </c>
      <c r="P107" s="1">
        <f t="shared" si="131"/>
        <v>25</v>
      </c>
      <c r="Q107" s="1">
        <f t="shared" si="132"/>
        <v>25</v>
      </c>
      <c r="R107" s="1">
        <f t="shared" si="133"/>
        <v>25</v>
      </c>
      <c r="S107" s="1">
        <f t="shared" si="134"/>
        <v>25</v>
      </c>
      <c r="T107" s="2">
        <v>21</v>
      </c>
      <c r="U107" s="1">
        <f t="shared" si="143"/>
        <v>21</v>
      </c>
      <c r="V107" s="1">
        <f t="shared" si="144"/>
        <v>21</v>
      </c>
      <c r="W107" s="1">
        <f t="shared" si="145"/>
        <v>21</v>
      </c>
      <c r="X107" s="1">
        <f t="shared" si="146"/>
        <v>21</v>
      </c>
      <c r="Y107" s="2">
        <v>18</v>
      </c>
      <c r="Z107" s="1">
        <f t="shared" si="109"/>
        <v>144</v>
      </c>
      <c r="AA107" s="2">
        <v>32</v>
      </c>
      <c r="AB107" s="1">
        <f t="shared" si="151"/>
        <v>256</v>
      </c>
      <c r="AC107" s="2">
        <v>34</v>
      </c>
      <c r="AD107" s="1">
        <f t="shared" si="111"/>
        <v>272</v>
      </c>
      <c r="AE107" s="2"/>
      <c r="AF107" s="1">
        <f t="shared" si="98"/>
        <v>0</v>
      </c>
      <c r="AG107" s="1"/>
      <c r="AH107" s="1">
        <f t="shared" si="152"/>
        <v>0</v>
      </c>
      <c r="AI107" s="1">
        <f t="shared" si="153"/>
        <v>0</v>
      </c>
      <c r="AJ107" s="2"/>
      <c r="AK107" s="1">
        <f t="shared" si="154"/>
        <v>0</v>
      </c>
      <c r="AL107" s="1">
        <f t="shared" si="155"/>
        <v>0</v>
      </c>
      <c r="AM107" s="2"/>
      <c r="AN107" s="1"/>
      <c r="AO107" s="1"/>
      <c r="AP107" s="1">
        <f t="shared" si="156"/>
        <v>150</v>
      </c>
      <c r="AQ107" s="32">
        <f t="shared" si="118"/>
        <v>936</v>
      </c>
    </row>
    <row r="108" spans="2:43" hidden="1" x14ac:dyDescent="0.25">
      <c r="B108" s="10" t="s">
        <v>80</v>
      </c>
      <c r="C108" s="96">
        <v>106</v>
      </c>
      <c r="D108" s="10" t="s">
        <v>240</v>
      </c>
      <c r="E108" s="2">
        <v>9</v>
      </c>
      <c r="F108" s="1">
        <f t="shared" si="123"/>
        <v>9</v>
      </c>
      <c r="G108" s="1">
        <f t="shared" si="147"/>
        <v>9</v>
      </c>
      <c r="H108" s="1">
        <f t="shared" si="148"/>
        <v>9</v>
      </c>
      <c r="I108" s="1">
        <f t="shared" si="149"/>
        <v>9</v>
      </c>
      <c r="J108" s="2">
        <v>7</v>
      </c>
      <c r="K108" s="1">
        <f t="shared" si="150"/>
        <v>7</v>
      </c>
      <c r="L108" s="1">
        <f t="shared" si="128"/>
        <v>7</v>
      </c>
      <c r="M108" s="1">
        <f t="shared" si="129"/>
        <v>7</v>
      </c>
      <c r="N108" s="1">
        <f t="shared" si="130"/>
        <v>7</v>
      </c>
      <c r="O108" s="2">
        <v>8</v>
      </c>
      <c r="P108" s="1">
        <f t="shared" si="131"/>
        <v>8</v>
      </c>
      <c r="Q108" s="1">
        <f t="shared" si="132"/>
        <v>8</v>
      </c>
      <c r="R108" s="1">
        <f t="shared" si="133"/>
        <v>8</v>
      </c>
      <c r="S108" s="1">
        <f t="shared" si="134"/>
        <v>8</v>
      </c>
      <c r="T108" s="2">
        <v>7</v>
      </c>
      <c r="U108" s="1">
        <f t="shared" si="143"/>
        <v>7</v>
      </c>
      <c r="V108" s="1">
        <f t="shared" si="144"/>
        <v>7</v>
      </c>
      <c r="W108" s="1">
        <f t="shared" si="145"/>
        <v>7</v>
      </c>
      <c r="X108" s="1">
        <f t="shared" si="146"/>
        <v>7</v>
      </c>
      <c r="Y108" s="2">
        <v>12</v>
      </c>
      <c r="Z108" s="1">
        <f t="shared" si="109"/>
        <v>96</v>
      </c>
      <c r="AA108" s="2">
        <v>9</v>
      </c>
      <c r="AB108" s="1">
        <f t="shared" si="151"/>
        <v>72</v>
      </c>
      <c r="AC108" s="2">
        <v>11</v>
      </c>
      <c r="AD108" s="1">
        <f t="shared" si="111"/>
        <v>88</v>
      </c>
      <c r="AE108" s="2"/>
      <c r="AF108" s="1">
        <f t="shared" si="98"/>
        <v>0</v>
      </c>
      <c r="AG108" s="1"/>
      <c r="AH108" s="1">
        <f t="shared" si="152"/>
        <v>0</v>
      </c>
      <c r="AI108" s="1">
        <f t="shared" si="153"/>
        <v>0</v>
      </c>
      <c r="AJ108" s="2"/>
      <c r="AK108" s="1">
        <f t="shared" si="154"/>
        <v>0</v>
      </c>
      <c r="AL108" s="1">
        <f t="shared" si="155"/>
        <v>0</v>
      </c>
      <c r="AM108" s="2"/>
      <c r="AN108" s="1"/>
      <c r="AO108" s="1"/>
      <c r="AP108" s="1">
        <f t="shared" si="156"/>
        <v>63</v>
      </c>
      <c r="AQ108" s="32">
        <f t="shared" si="118"/>
        <v>380</v>
      </c>
    </row>
    <row r="109" spans="2:43" hidden="1" x14ac:dyDescent="0.25">
      <c r="B109" s="10" t="s">
        <v>80</v>
      </c>
      <c r="C109" s="96">
        <v>107</v>
      </c>
      <c r="D109" s="10" t="s">
        <v>241</v>
      </c>
      <c r="E109" s="2"/>
      <c r="F109" s="1">
        <f t="shared" si="123"/>
        <v>0</v>
      </c>
      <c r="G109" s="1">
        <f t="shared" si="147"/>
        <v>0</v>
      </c>
      <c r="H109" s="1">
        <f t="shared" si="148"/>
        <v>0</v>
      </c>
      <c r="I109" s="1">
        <f t="shared" si="149"/>
        <v>0</v>
      </c>
      <c r="J109" s="2"/>
      <c r="K109" s="1">
        <f t="shared" si="150"/>
        <v>0</v>
      </c>
      <c r="L109" s="1">
        <f t="shared" si="128"/>
        <v>0</v>
      </c>
      <c r="M109" s="1">
        <f t="shared" si="129"/>
        <v>0</v>
      </c>
      <c r="N109" s="1">
        <f t="shared" si="130"/>
        <v>0</v>
      </c>
      <c r="O109" s="2"/>
      <c r="P109" s="1">
        <f t="shared" si="131"/>
        <v>0</v>
      </c>
      <c r="Q109" s="1">
        <f t="shared" si="132"/>
        <v>0</v>
      </c>
      <c r="R109" s="1">
        <f t="shared" si="133"/>
        <v>0</v>
      </c>
      <c r="S109" s="1">
        <f t="shared" si="134"/>
        <v>0</v>
      </c>
      <c r="T109" s="2"/>
      <c r="U109" s="1">
        <f t="shared" si="143"/>
        <v>0</v>
      </c>
      <c r="V109" s="1">
        <f t="shared" si="144"/>
        <v>0</v>
      </c>
      <c r="W109" s="1">
        <f t="shared" si="145"/>
        <v>0</v>
      </c>
      <c r="X109" s="1">
        <f t="shared" si="146"/>
        <v>0</v>
      </c>
      <c r="Y109" s="2"/>
      <c r="Z109" s="1">
        <f t="shared" si="109"/>
        <v>0</v>
      </c>
      <c r="AA109" s="2"/>
      <c r="AB109" s="1">
        <f t="shared" si="151"/>
        <v>0</v>
      </c>
      <c r="AC109" s="2"/>
      <c r="AD109" s="1">
        <f t="shared" si="111"/>
        <v>0</v>
      </c>
      <c r="AE109" s="2">
        <v>58</v>
      </c>
      <c r="AF109" s="1">
        <f t="shared" si="98"/>
        <v>464</v>
      </c>
      <c r="AG109" s="1">
        <v>35</v>
      </c>
      <c r="AH109" s="1">
        <f t="shared" si="152"/>
        <v>280</v>
      </c>
      <c r="AI109" s="1">
        <f t="shared" si="153"/>
        <v>140</v>
      </c>
      <c r="AJ109" s="2">
        <v>33</v>
      </c>
      <c r="AK109" s="1">
        <f t="shared" si="154"/>
        <v>264</v>
      </c>
      <c r="AL109" s="1">
        <f t="shared" si="155"/>
        <v>132</v>
      </c>
      <c r="AM109" s="2"/>
      <c r="AN109" s="1"/>
      <c r="AO109" s="1"/>
      <c r="AP109" s="1">
        <f t="shared" si="156"/>
        <v>126</v>
      </c>
      <c r="AQ109" s="32">
        <f t="shared" si="118"/>
        <v>1280</v>
      </c>
    </row>
    <row r="110" spans="2:43" hidden="1" x14ac:dyDescent="0.25">
      <c r="B110" s="10" t="s">
        <v>80</v>
      </c>
      <c r="C110" s="96">
        <v>108</v>
      </c>
      <c r="D110" s="10" t="s">
        <v>242</v>
      </c>
      <c r="E110" s="2">
        <v>15</v>
      </c>
      <c r="F110" s="1">
        <f t="shared" si="123"/>
        <v>15</v>
      </c>
      <c r="G110" s="1">
        <f t="shared" si="147"/>
        <v>15</v>
      </c>
      <c r="H110" s="1">
        <f t="shared" si="148"/>
        <v>15</v>
      </c>
      <c r="I110" s="1">
        <f t="shared" si="149"/>
        <v>15</v>
      </c>
      <c r="J110" s="2">
        <v>26</v>
      </c>
      <c r="K110" s="1">
        <f t="shared" si="150"/>
        <v>26</v>
      </c>
      <c r="L110" s="1">
        <f t="shared" si="128"/>
        <v>26</v>
      </c>
      <c r="M110" s="1">
        <f t="shared" si="129"/>
        <v>26</v>
      </c>
      <c r="N110" s="1">
        <f t="shared" si="130"/>
        <v>26</v>
      </c>
      <c r="O110" s="2">
        <v>26</v>
      </c>
      <c r="P110" s="1">
        <f t="shared" si="131"/>
        <v>26</v>
      </c>
      <c r="Q110" s="1">
        <f t="shared" si="132"/>
        <v>26</v>
      </c>
      <c r="R110" s="1">
        <f t="shared" si="133"/>
        <v>26</v>
      </c>
      <c r="S110" s="1">
        <f t="shared" si="134"/>
        <v>26</v>
      </c>
      <c r="T110" s="2">
        <v>26</v>
      </c>
      <c r="U110" s="1">
        <f t="shared" si="143"/>
        <v>26</v>
      </c>
      <c r="V110" s="1">
        <f t="shared" si="144"/>
        <v>26</v>
      </c>
      <c r="W110" s="1">
        <f t="shared" si="145"/>
        <v>26</v>
      </c>
      <c r="X110" s="1">
        <f t="shared" si="146"/>
        <v>26</v>
      </c>
      <c r="Y110" s="2">
        <v>35</v>
      </c>
      <c r="Z110" s="1">
        <f t="shared" si="109"/>
        <v>280</v>
      </c>
      <c r="AA110" s="2">
        <v>35</v>
      </c>
      <c r="AB110" s="1">
        <f t="shared" si="151"/>
        <v>280</v>
      </c>
      <c r="AC110" s="2">
        <v>24</v>
      </c>
      <c r="AD110" s="1">
        <f t="shared" si="111"/>
        <v>192</v>
      </c>
      <c r="AE110" s="2"/>
      <c r="AF110" s="1">
        <f t="shared" si="98"/>
        <v>0</v>
      </c>
      <c r="AG110" s="1"/>
      <c r="AH110" s="1">
        <f t="shared" si="152"/>
        <v>0</v>
      </c>
      <c r="AI110" s="1">
        <f t="shared" si="153"/>
        <v>0</v>
      </c>
      <c r="AJ110" s="2"/>
      <c r="AK110" s="1">
        <f t="shared" si="154"/>
        <v>0</v>
      </c>
      <c r="AL110" s="1">
        <f t="shared" si="155"/>
        <v>0</v>
      </c>
      <c r="AM110" s="2"/>
      <c r="AN110" s="1"/>
      <c r="AO110" s="1"/>
      <c r="AP110" s="1">
        <f t="shared" si="156"/>
        <v>187</v>
      </c>
      <c r="AQ110" s="32">
        <f t="shared" si="118"/>
        <v>1124</v>
      </c>
    </row>
    <row r="111" spans="2:43" hidden="1" x14ac:dyDescent="0.25">
      <c r="B111" s="10" t="s">
        <v>80</v>
      </c>
      <c r="C111" s="96">
        <v>109</v>
      </c>
      <c r="D111" s="1" t="s">
        <v>243</v>
      </c>
      <c r="E111" s="1"/>
      <c r="F111" s="1">
        <f t="shared" si="123"/>
        <v>0</v>
      </c>
      <c r="G111" s="1">
        <f t="shared" si="147"/>
        <v>0</v>
      </c>
      <c r="H111" s="1">
        <f t="shared" si="148"/>
        <v>0</v>
      </c>
      <c r="I111" s="1">
        <f t="shared" si="149"/>
        <v>0</v>
      </c>
      <c r="J111" s="1"/>
      <c r="K111" s="1">
        <f t="shared" si="150"/>
        <v>0</v>
      </c>
      <c r="L111" s="1">
        <f t="shared" si="128"/>
        <v>0</v>
      </c>
      <c r="M111" s="1">
        <f t="shared" si="129"/>
        <v>0</v>
      </c>
      <c r="N111" s="1">
        <f t="shared" si="130"/>
        <v>0</v>
      </c>
      <c r="O111" s="1"/>
      <c r="P111" s="1">
        <f t="shared" si="131"/>
        <v>0</v>
      </c>
      <c r="Q111" s="1">
        <f t="shared" si="132"/>
        <v>0</v>
      </c>
      <c r="R111" s="1">
        <f t="shared" si="133"/>
        <v>0</v>
      </c>
      <c r="S111" s="1">
        <f t="shared" si="134"/>
        <v>0</v>
      </c>
      <c r="T111" s="1"/>
      <c r="U111" s="1">
        <f t="shared" si="143"/>
        <v>0</v>
      </c>
      <c r="V111" s="1">
        <f t="shared" si="144"/>
        <v>0</v>
      </c>
      <c r="W111" s="1">
        <f t="shared" si="145"/>
        <v>0</v>
      </c>
      <c r="X111" s="1">
        <f t="shared" si="146"/>
        <v>0</v>
      </c>
      <c r="Y111" s="1"/>
      <c r="Z111" s="1">
        <f t="shared" si="109"/>
        <v>0</v>
      </c>
      <c r="AA111" s="1"/>
      <c r="AB111" s="1">
        <f t="shared" si="151"/>
        <v>0</v>
      </c>
      <c r="AC111" s="1"/>
      <c r="AD111" s="1">
        <f t="shared" si="111"/>
        <v>0</v>
      </c>
      <c r="AE111" s="1">
        <v>29</v>
      </c>
      <c r="AF111" s="1">
        <f t="shared" si="98"/>
        <v>232</v>
      </c>
      <c r="AG111" s="1">
        <v>47</v>
      </c>
      <c r="AH111" s="1">
        <f t="shared" si="152"/>
        <v>376</v>
      </c>
      <c r="AI111" s="1">
        <f t="shared" si="153"/>
        <v>188</v>
      </c>
      <c r="AJ111" s="1">
        <v>29</v>
      </c>
      <c r="AK111" s="1">
        <f t="shared" si="154"/>
        <v>232</v>
      </c>
      <c r="AL111" s="1">
        <f t="shared" si="155"/>
        <v>116</v>
      </c>
      <c r="AM111" s="1"/>
      <c r="AN111" s="1"/>
      <c r="AO111" s="1"/>
      <c r="AP111" s="1">
        <f t="shared" si="156"/>
        <v>105</v>
      </c>
      <c r="AQ111" s="32">
        <f>SUM(F111,G111,H111,I111,K111,L111,M111,N111,P111,Q111,R111,S111,U111,V111,W111,X111,Z111,AB111,AD111,AF111,AH111,AI111,AK111,AL111,AN111,AO111)</f>
        <v>1144</v>
      </c>
    </row>
    <row r="112" spans="2:43" hidden="1" x14ac:dyDescent="0.25">
      <c r="B112" s="10" t="s">
        <v>80</v>
      </c>
      <c r="C112" s="96">
        <v>110</v>
      </c>
      <c r="D112" s="1" t="s">
        <v>244</v>
      </c>
      <c r="E112" s="1">
        <v>13</v>
      </c>
      <c r="F112" s="1">
        <f t="shared" si="123"/>
        <v>13</v>
      </c>
      <c r="G112" s="1">
        <f t="shared" si="147"/>
        <v>13</v>
      </c>
      <c r="H112" s="1">
        <f t="shared" si="148"/>
        <v>13</v>
      </c>
      <c r="I112" s="1">
        <f t="shared" si="149"/>
        <v>13</v>
      </c>
      <c r="J112" s="1">
        <v>21</v>
      </c>
      <c r="K112" s="1">
        <f t="shared" si="150"/>
        <v>21</v>
      </c>
      <c r="L112" s="1">
        <f t="shared" si="128"/>
        <v>21</v>
      </c>
      <c r="M112" s="1">
        <f t="shared" si="129"/>
        <v>21</v>
      </c>
      <c r="N112" s="1">
        <f t="shared" si="130"/>
        <v>21</v>
      </c>
      <c r="O112" s="1">
        <v>24</v>
      </c>
      <c r="P112" s="1">
        <f t="shared" si="131"/>
        <v>24</v>
      </c>
      <c r="Q112" s="1">
        <f t="shared" si="132"/>
        <v>24</v>
      </c>
      <c r="R112" s="1">
        <f t="shared" si="133"/>
        <v>24</v>
      </c>
      <c r="S112" s="1">
        <f t="shared" si="134"/>
        <v>24</v>
      </c>
      <c r="T112" s="1">
        <v>25</v>
      </c>
      <c r="U112" s="1">
        <f t="shared" si="143"/>
        <v>25</v>
      </c>
      <c r="V112" s="1">
        <f t="shared" si="144"/>
        <v>25</v>
      </c>
      <c r="W112" s="1">
        <f t="shared" si="145"/>
        <v>25</v>
      </c>
      <c r="X112" s="1">
        <f t="shared" si="146"/>
        <v>25</v>
      </c>
      <c r="Y112" s="1">
        <v>30</v>
      </c>
      <c r="Z112" s="1">
        <f t="shared" si="109"/>
        <v>240</v>
      </c>
      <c r="AA112" s="1">
        <v>28</v>
      </c>
      <c r="AB112" s="1">
        <f t="shared" si="151"/>
        <v>224</v>
      </c>
      <c r="AC112" s="1">
        <v>38</v>
      </c>
      <c r="AD112" s="1">
        <f t="shared" si="111"/>
        <v>304</v>
      </c>
      <c r="AE112" s="1"/>
      <c r="AF112" s="1">
        <f t="shared" si="98"/>
        <v>0</v>
      </c>
      <c r="AG112" s="1"/>
      <c r="AH112" s="1">
        <f t="shared" si="152"/>
        <v>0</v>
      </c>
      <c r="AI112" s="1">
        <f t="shared" si="153"/>
        <v>0</v>
      </c>
      <c r="AJ112" s="1"/>
      <c r="AK112" s="1">
        <f t="shared" si="154"/>
        <v>0</v>
      </c>
      <c r="AL112" s="1">
        <f t="shared" si="155"/>
        <v>0</v>
      </c>
      <c r="AM112" s="1"/>
      <c r="AN112" s="1"/>
      <c r="AO112" s="1"/>
      <c r="AP112" s="1">
        <f t="shared" si="156"/>
        <v>179</v>
      </c>
      <c r="AQ112" s="32">
        <f t="shared" ref="AQ112:AQ116" si="157">SUM(F112,G112,H112,I112,K112,L112,M112,N112,P112,Q112,R112,S112,U112,V112,W112,X112,Z112,AB112,AD112,AF112,AH112,AI112,AK112,AL112,AN112,AO112)</f>
        <v>1100</v>
      </c>
    </row>
    <row r="113" spans="2:46" hidden="1" x14ac:dyDescent="0.25">
      <c r="B113" s="10" t="s">
        <v>80</v>
      </c>
      <c r="C113" s="96">
        <v>111</v>
      </c>
      <c r="D113" s="1" t="s">
        <v>245</v>
      </c>
      <c r="E113" s="1">
        <v>6</v>
      </c>
      <c r="F113" s="1">
        <f t="shared" si="123"/>
        <v>6</v>
      </c>
      <c r="G113" s="1">
        <f t="shared" si="147"/>
        <v>6</v>
      </c>
      <c r="H113" s="1">
        <f t="shared" si="148"/>
        <v>6</v>
      </c>
      <c r="I113" s="1">
        <f t="shared" si="149"/>
        <v>6</v>
      </c>
      <c r="J113" s="1">
        <v>4</v>
      </c>
      <c r="K113" s="1">
        <f t="shared" si="150"/>
        <v>4</v>
      </c>
      <c r="L113" s="1">
        <f t="shared" si="128"/>
        <v>4</v>
      </c>
      <c r="M113" s="1">
        <f t="shared" si="129"/>
        <v>4</v>
      </c>
      <c r="N113" s="1">
        <f t="shared" si="130"/>
        <v>4</v>
      </c>
      <c r="O113" s="1">
        <v>2</v>
      </c>
      <c r="P113" s="1">
        <f t="shared" si="131"/>
        <v>2</v>
      </c>
      <c r="Q113" s="1">
        <f t="shared" si="132"/>
        <v>2</v>
      </c>
      <c r="R113" s="1">
        <f t="shared" si="133"/>
        <v>2</v>
      </c>
      <c r="S113" s="1">
        <f t="shared" si="134"/>
        <v>2</v>
      </c>
      <c r="T113" s="1">
        <v>7</v>
      </c>
      <c r="U113" s="1">
        <f t="shared" si="143"/>
        <v>7</v>
      </c>
      <c r="V113" s="1">
        <f t="shared" si="144"/>
        <v>7</v>
      </c>
      <c r="W113" s="1">
        <f t="shared" si="145"/>
        <v>7</v>
      </c>
      <c r="X113" s="1">
        <f t="shared" si="146"/>
        <v>7</v>
      </c>
      <c r="Y113" s="1">
        <v>2</v>
      </c>
      <c r="Z113" s="1">
        <f t="shared" si="109"/>
        <v>16</v>
      </c>
      <c r="AA113" s="1">
        <v>6</v>
      </c>
      <c r="AB113" s="1">
        <f t="shared" si="151"/>
        <v>48</v>
      </c>
      <c r="AC113" s="1">
        <v>4</v>
      </c>
      <c r="AD113" s="1">
        <f t="shared" si="111"/>
        <v>32</v>
      </c>
      <c r="AE113" s="1"/>
      <c r="AF113" s="1">
        <f t="shared" si="98"/>
        <v>0</v>
      </c>
      <c r="AG113" s="1"/>
      <c r="AH113" s="1">
        <f t="shared" si="152"/>
        <v>0</v>
      </c>
      <c r="AI113" s="1">
        <f t="shared" si="153"/>
        <v>0</v>
      </c>
      <c r="AJ113" s="1"/>
      <c r="AK113" s="1">
        <f t="shared" si="154"/>
        <v>0</v>
      </c>
      <c r="AL113" s="1">
        <f t="shared" si="155"/>
        <v>0</v>
      </c>
      <c r="AM113" s="1"/>
      <c r="AN113" s="1"/>
      <c r="AO113" s="1"/>
      <c r="AP113" s="1">
        <f t="shared" si="156"/>
        <v>31</v>
      </c>
      <c r="AQ113" s="32">
        <f t="shared" si="157"/>
        <v>172</v>
      </c>
    </row>
    <row r="114" spans="2:46" x14ac:dyDescent="0.25">
      <c r="B114" s="10" t="s">
        <v>71</v>
      </c>
      <c r="C114" s="96">
        <v>112</v>
      </c>
      <c r="D114" s="1" t="s">
        <v>246</v>
      </c>
      <c r="E114" s="1">
        <v>34</v>
      </c>
      <c r="F114" s="1">
        <f t="shared" si="123"/>
        <v>34</v>
      </c>
      <c r="G114" s="1">
        <f t="shared" si="147"/>
        <v>34</v>
      </c>
      <c r="H114" s="1">
        <f t="shared" si="148"/>
        <v>34</v>
      </c>
      <c r="I114" s="1">
        <f t="shared" si="149"/>
        <v>34</v>
      </c>
      <c r="J114" s="1">
        <v>69</v>
      </c>
      <c r="K114" s="1">
        <f t="shared" si="150"/>
        <v>69</v>
      </c>
      <c r="L114" s="1">
        <f t="shared" si="128"/>
        <v>69</v>
      </c>
      <c r="M114" s="1">
        <f t="shared" si="129"/>
        <v>69</v>
      </c>
      <c r="N114" s="1">
        <f t="shared" si="130"/>
        <v>69</v>
      </c>
      <c r="O114" s="1">
        <v>48</v>
      </c>
      <c r="P114" s="1">
        <f t="shared" si="131"/>
        <v>48</v>
      </c>
      <c r="Q114" s="1">
        <f t="shared" si="132"/>
        <v>48</v>
      </c>
      <c r="R114" s="1">
        <f t="shared" si="133"/>
        <v>48</v>
      </c>
      <c r="S114" s="1">
        <f t="shared" si="134"/>
        <v>48</v>
      </c>
      <c r="T114" s="1">
        <v>46</v>
      </c>
      <c r="U114" s="1">
        <f t="shared" si="143"/>
        <v>46</v>
      </c>
      <c r="V114" s="1">
        <f t="shared" si="144"/>
        <v>46</v>
      </c>
      <c r="W114" s="1">
        <f t="shared" si="145"/>
        <v>46</v>
      </c>
      <c r="X114" s="1">
        <f t="shared" si="146"/>
        <v>46</v>
      </c>
      <c r="Y114" s="1">
        <v>64</v>
      </c>
      <c r="Z114" s="1">
        <f t="shared" si="109"/>
        <v>512</v>
      </c>
      <c r="AA114" s="1">
        <v>101</v>
      </c>
      <c r="AB114" s="1">
        <f t="shared" si="151"/>
        <v>808</v>
      </c>
      <c r="AC114" s="1">
        <v>70</v>
      </c>
      <c r="AD114" s="1">
        <f t="shared" si="111"/>
        <v>560</v>
      </c>
      <c r="AE114" s="1"/>
      <c r="AF114" s="1">
        <f t="shared" si="98"/>
        <v>0</v>
      </c>
      <c r="AG114" s="1"/>
      <c r="AH114" s="1">
        <f t="shared" si="152"/>
        <v>0</v>
      </c>
      <c r="AI114" s="1">
        <f t="shared" si="153"/>
        <v>0</v>
      </c>
      <c r="AJ114" s="1"/>
      <c r="AK114" s="1">
        <f t="shared" si="154"/>
        <v>0</v>
      </c>
      <c r="AL114" s="1">
        <f t="shared" si="155"/>
        <v>0</v>
      </c>
      <c r="AM114" s="1"/>
      <c r="AN114" s="1"/>
      <c r="AO114" s="1"/>
      <c r="AP114" s="1">
        <f t="shared" si="156"/>
        <v>432</v>
      </c>
      <c r="AQ114" s="32">
        <f t="shared" si="157"/>
        <v>2668</v>
      </c>
    </row>
    <row r="115" spans="2:46" x14ac:dyDescent="0.25">
      <c r="B115" s="10" t="s">
        <v>76</v>
      </c>
      <c r="C115" s="96">
        <v>113</v>
      </c>
      <c r="D115" s="1" t="s">
        <v>247</v>
      </c>
      <c r="E115" s="1">
        <v>5</v>
      </c>
      <c r="F115" s="1">
        <f t="shared" si="123"/>
        <v>5</v>
      </c>
      <c r="G115" s="1">
        <f t="shared" si="147"/>
        <v>5</v>
      </c>
      <c r="H115" s="1">
        <f t="shared" si="148"/>
        <v>5</v>
      </c>
      <c r="I115" s="1">
        <f t="shared" si="149"/>
        <v>5</v>
      </c>
      <c r="J115" s="1">
        <v>11</v>
      </c>
      <c r="K115" s="1">
        <f t="shared" si="150"/>
        <v>11</v>
      </c>
      <c r="L115" s="1">
        <f t="shared" si="128"/>
        <v>11</v>
      </c>
      <c r="M115" s="1">
        <f t="shared" si="129"/>
        <v>11</v>
      </c>
      <c r="N115" s="1">
        <f t="shared" si="130"/>
        <v>11</v>
      </c>
      <c r="O115" s="1">
        <v>16</v>
      </c>
      <c r="P115" s="1">
        <f t="shared" si="131"/>
        <v>16</v>
      </c>
      <c r="Q115" s="1">
        <f t="shared" si="132"/>
        <v>16</v>
      </c>
      <c r="R115" s="1">
        <f t="shared" si="133"/>
        <v>16</v>
      </c>
      <c r="S115" s="1">
        <f t="shared" si="134"/>
        <v>16</v>
      </c>
      <c r="T115" s="1">
        <v>10</v>
      </c>
      <c r="U115" s="1">
        <f t="shared" si="143"/>
        <v>10</v>
      </c>
      <c r="V115" s="1">
        <f t="shared" si="144"/>
        <v>10</v>
      </c>
      <c r="W115" s="1">
        <f t="shared" si="145"/>
        <v>10</v>
      </c>
      <c r="X115" s="1">
        <f t="shared" si="146"/>
        <v>10</v>
      </c>
      <c r="Y115" s="1">
        <v>17</v>
      </c>
      <c r="Z115" s="1">
        <f t="shared" si="109"/>
        <v>136</v>
      </c>
      <c r="AA115" s="1">
        <v>19</v>
      </c>
      <c r="AB115" s="1">
        <f t="shared" si="151"/>
        <v>152</v>
      </c>
      <c r="AC115" s="1">
        <v>14</v>
      </c>
      <c r="AD115" s="1">
        <f t="shared" si="111"/>
        <v>112</v>
      </c>
      <c r="AE115" s="1"/>
      <c r="AF115" s="1">
        <f t="shared" si="98"/>
        <v>0</v>
      </c>
      <c r="AG115" s="1"/>
      <c r="AH115" s="1">
        <f t="shared" si="152"/>
        <v>0</v>
      </c>
      <c r="AI115" s="1">
        <f t="shared" si="153"/>
        <v>0</v>
      </c>
      <c r="AJ115" s="1"/>
      <c r="AK115" s="1">
        <f t="shared" si="154"/>
        <v>0</v>
      </c>
      <c r="AL115" s="1">
        <f t="shared" si="155"/>
        <v>0</v>
      </c>
      <c r="AM115" s="1"/>
      <c r="AN115" s="1"/>
      <c r="AO115" s="1"/>
      <c r="AP115" s="1">
        <f t="shared" si="156"/>
        <v>92</v>
      </c>
      <c r="AQ115" s="32">
        <f t="shared" si="157"/>
        <v>568</v>
      </c>
    </row>
    <row r="116" spans="2:46" x14ac:dyDescent="0.25">
      <c r="B116" s="10" t="s">
        <v>76</v>
      </c>
      <c r="C116" s="96">
        <v>114</v>
      </c>
      <c r="D116" s="1" t="s">
        <v>73</v>
      </c>
      <c r="E116" s="1"/>
      <c r="F116" s="1">
        <f t="shared" si="123"/>
        <v>0</v>
      </c>
      <c r="G116" s="1">
        <f t="shared" si="147"/>
        <v>0</v>
      </c>
      <c r="H116" s="1">
        <f t="shared" si="148"/>
        <v>0</v>
      </c>
      <c r="I116" s="1">
        <f t="shared" si="149"/>
        <v>0</v>
      </c>
      <c r="J116" s="1"/>
      <c r="K116" s="1">
        <f t="shared" si="150"/>
        <v>0</v>
      </c>
      <c r="L116" s="1">
        <f t="shared" si="128"/>
        <v>0</v>
      </c>
      <c r="M116" s="1">
        <f t="shared" si="129"/>
        <v>0</v>
      </c>
      <c r="N116" s="1">
        <f t="shared" si="130"/>
        <v>0</v>
      </c>
      <c r="O116" s="1"/>
      <c r="P116" s="1">
        <f t="shared" si="131"/>
        <v>0</v>
      </c>
      <c r="Q116" s="1">
        <f t="shared" si="132"/>
        <v>0</v>
      </c>
      <c r="R116" s="1"/>
      <c r="S116" s="1">
        <f t="shared" si="134"/>
        <v>0</v>
      </c>
      <c r="T116" s="1"/>
      <c r="U116" s="1">
        <f t="shared" si="143"/>
        <v>0</v>
      </c>
      <c r="V116" s="1">
        <f t="shared" si="144"/>
        <v>0</v>
      </c>
      <c r="W116" s="1">
        <f t="shared" si="145"/>
        <v>0</v>
      </c>
      <c r="X116" s="1">
        <f t="shared" si="146"/>
        <v>0</v>
      </c>
      <c r="Y116" s="1"/>
      <c r="Z116" s="1">
        <f t="shared" si="109"/>
        <v>0</v>
      </c>
      <c r="AA116" s="1"/>
      <c r="AB116" s="1">
        <f t="shared" si="151"/>
        <v>0</v>
      </c>
      <c r="AC116" s="1"/>
      <c r="AD116" s="1">
        <f t="shared" si="111"/>
        <v>0</v>
      </c>
      <c r="AE116" s="1">
        <v>30</v>
      </c>
      <c r="AF116" s="1">
        <f t="shared" si="98"/>
        <v>240</v>
      </c>
      <c r="AG116" s="1">
        <v>39</v>
      </c>
      <c r="AH116" s="1">
        <f t="shared" si="152"/>
        <v>312</v>
      </c>
      <c r="AI116" s="1">
        <f t="shared" si="153"/>
        <v>156</v>
      </c>
      <c r="AJ116" s="1">
        <v>46</v>
      </c>
      <c r="AK116" s="1">
        <f t="shared" si="154"/>
        <v>368</v>
      </c>
      <c r="AL116" s="1">
        <f t="shared" si="155"/>
        <v>184</v>
      </c>
      <c r="AM116" s="1"/>
      <c r="AN116" s="1"/>
      <c r="AO116" s="1"/>
      <c r="AP116" s="1">
        <f t="shared" si="156"/>
        <v>115</v>
      </c>
      <c r="AQ116" s="32">
        <f t="shared" si="157"/>
        <v>1260</v>
      </c>
    </row>
    <row r="117" spans="2:46" x14ac:dyDescent="0.25"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32"/>
    </row>
    <row r="118" spans="2:46" x14ac:dyDescent="0.25"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32"/>
    </row>
    <row r="119" spans="2:46" x14ac:dyDescent="0.25"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32"/>
    </row>
    <row r="120" spans="2:46" x14ac:dyDescent="0.25"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32"/>
    </row>
    <row r="121" spans="2:46" ht="20.25" customHeight="1" x14ac:dyDescent="0.25">
      <c r="B121" s="1"/>
      <c r="C121" s="24"/>
      <c r="D121" s="10" t="s">
        <v>36</v>
      </c>
      <c r="E121" s="24">
        <f>SUM(E3:E116)</f>
        <v>1416</v>
      </c>
      <c r="F121" s="24">
        <f>SUM(F3:F116)</f>
        <v>1416</v>
      </c>
      <c r="G121" s="24">
        <f>SUM(G3:G116)</f>
        <v>1416</v>
      </c>
      <c r="H121" s="24">
        <f>SUM(H3:H116)</f>
        <v>1416</v>
      </c>
      <c r="I121" s="24">
        <f>SUM(I3:I116)</f>
        <v>1416</v>
      </c>
      <c r="J121" s="24">
        <f>SUM(J3:J116)</f>
        <v>1915</v>
      </c>
      <c r="K121" s="24">
        <f>SUM(K3:K117)</f>
        <v>1915</v>
      </c>
      <c r="L121" s="24">
        <f>SUM(L3:L116)</f>
        <v>1915</v>
      </c>
      <c r="M121" s="24">
        <f>SUM(M3:M116)</f>
        <v>1915</v>
      </c>
      <c r="N121" s="24">
        <f>SUM(N3:N119)</f>
        <v>1915</v>
      </c>
      <c r="O121" s="24">
        <f>SUM(O3:O116)</f>
        <v>2024</v>
      </c>
      <c r="P121" s="24">
        <f>SUM(P3:P117)</f>
        <v>2024</v>
      </c>
      <c r="Q121" s="24">
        <f>SUM(Q3:Q117)</f>
        <v>2024</v>
      </c>
      <c r="R121" s="24">
        <f>SUM(R3:R116)</f>
        <v>2024</v>
      </c>
      <c r="S121" s="24">
        <f>SUM(S3:S117)</f>
        <v>2024</v>
      </c>
      <c r="T121" s="24">
        <f>SUM(T3:T117)</f>
        <v>2161</v>
      </c>
      <c r="U121" s="24">
        <f>SUM(U3:U117)</f>
        <v>2161</v>
      </c>
      <c r="V121" s="24">
        <f>SUM(V3:V117)</f>
        <v>2161</v>
      </c>
      <c r="W121" s="24">
        <f>SUM(W3:W116)</f>
        <v>2161</v>
      </c>
      <c r="X121" s="24">
        <f>SUM(X3:X116)</f>
        <v>2161</v>
      </c>
      <c r="Y121" s="24">
        <f>SUM(Y3:Y118)</f>
        <v>2272</v>
      </c>
      <c r="Z121" s="24">
        <f>SUM(Z3:Z118)</f>
        <v>18176</v>
      </c>
      <c r="AA121" s="24">
        <f>SUM(AA3:AA118)</f>
        <v>2747</v>
      </c>
      <c r="AB121" s="24">
        <f>SUM(AB3:AB118)</f>
        <v>21976</v>
      </c>
      <c r="AC121" s="24">
        <f>SUM(AC3:AC117)</f>
        <v>2467</v>
      </c>
      <c r="AD121" s="24">
        <f>SUM(AD3:AD117)</f>
        <v>19736</v>
      </c>
      <c r="AE121" s="24">
        <f>SUM(AE3:AE116)</f>
        <v>1656</v>
      </c>
      <c r="AF121" s="24">
        <f>SUM(AF3:AF116)</f>
        <v>13248</v>
      </c>
      <c r="AG121" s="24">
        <f>SUM(AG3:AG116)</f>
        <v>1493</v>
      </c>
      <c r="AH121" s="24">
        <f>SUM(AH3:AH116)</f>
        <v>11944</v>
      </c>
      <c r="AI121" s="24">
        <f>SUM(AI3:AI116)</f>
        <v>5972</v>
      </c>
      <c r="AJ121" s="24">
        <f>SUM(AJ3:AJ116)</f>
        <v>1230</v>
      </c>
      <c r="AK121" s="24">
        <f>SUM(AK3:AK116)</f>
        <v>9840</v>
      </c>
      <c r="AL121" s="24">
        <f>SUM(AL3:AL116)</f>
        <v>4920</v>
      </c>
      <c r="AM121" s="24"/>
      <c r="AN121" s="24"/>
      <c r="AO121" s="24"/>
      <c r="AP121" s="24">
        <f>SUM(AP3:AP116)</f>
        <v>19381</v>
      </c>
      <c r="AQ121" s="32">
        <f>SUM(K121,L121,M121,N121,P121,Q121,R121,S121,U121,V121,W121,X121,Z121,AB121,AD121,AF121,AH121,AI121,AK121,AL121,AN121,AO121)</f>
        <v>130212</v>
      </c>
      <c r="AS121">
        <v>120000</v>
      </c>
      <c r="AT121">
        <v>15000</v>
      </c>
    </row>
    <row r="122" spans="2:46" x14ac:dyDescent="0.25">
      <c r="E122" s="35"/>
      <c r="J122" s="50"/>
      <c r="K122" s="50"/>
      <c r="L122" s="50"/>
      <c r="M122" s="50"/>
      <c r="N122" s="50"/>
      <c r="O122" s="51"/>
    </row>
    <row r="124" spans="2:46" x14ac:dyDescent="0.25">
      <c r="B124" s="21"/>
      <c r="D124" s="21"/>
      <c r="K124" s="31"/>
    </row>
    <row r="125" spans="2:46" x14ac:dyDescent="0.25">
      <c r="D125" s="21"/>
    </row>
    <row r="127" spans="2:46" x14ac:dyDescent="0.25">
      <c r="B127" s="100"/>
      <c r="C127" s="101"/>
      <c r="D127" s="101"/>
      <c r="E127" s="102"/>
      <c r="F127" s="102"/>
      <c r="G127" s="100"/>
      <c r="H127" s="100"/>
      <c r="I127" s="100"/>
      <c r="J127" s="102"/>
      <c r="K127" s="102"/>
      <c r="L127" s="100"/>
      <c r="M127" s="100"/>
      <c r="N127" s="100"/>
      <c r="O127" s="100"/>
      <c r="P127" s="103"/>
      <c r="Q127" s="100"/>
      <c r="R127" s="100"/>
      <c r="S127" s="101"/>
      <c r="T127" s="101"/>
      <c r="U127" s="100"/>
      <c r="V127" s="100"/>
      <c r="W127" s="103"/>
      <c r="X127" s="103"/>
      <c r="Y127" s="103"/>
      <c r="Z127" s="104"/>
      <c r="AA127" s="103"/>
      <c r="AB127" s="103"/>
    </row>
    <row r="128" spans="2:46" x14ac:dyDescent="0.25">
      <c r="B128" s="100"/>
      <c r="C128" s="101"/>
      <c r="D128" s="105"/>
      <c r="E128" s="101"/>
      <c r="F128" s="106"/>
      <c r="G128" s="100"/>
      <c r="H128" s="100"/>
      <c r="I128" s="100"/>
      <c r="J128" s="101"/>
      <c r="K128" s="106"/>
      <c r="L128" s="100"/>
      <c r="M128" s="100"/>
      <c r="N128" s="100"/>
      <c r="O128" s="100"/>
      <c r="P128" s="100"/>
      <c r="Q128" s="100"/>
      <c r="R128" s="100"/>
      <c r="S128" s="101"/>
      <c r="T128" s="105"/>
      <c r="U128" s="100"/>
      <c r="V128" s="100"/>
      <c r="W128" s="100"/>
      <c r="X128" s="100"/>
      <c r="Y128" s="100"/>
      <c r="Z128" s="100"/>
      <c r="AA128" s="105"/>
      <c r="AB128" s="100"/>
    </row>
    <row r="129" spans="2:28" x14ac:dyDescent="0.25">
      <c r="B129" s="100"/>
      <c r="C129" s="101"/>
      <c r="D129" s="105"/>
      <c r="E129" s="100"/>
      <c r="F129" s="107"/>
      <c r="G129" s="100"/>
      <c r="H129" s="100"/>
      <c r="I129" s="100"/>
      <c r="J129" s="101"/>
      <c r="K129" s="107"/>
      <c r="L129" s="100"/>
      <c r="M129" s="100"/>
      <c r="N129" s="100"/>
      <c r="O129" s="100"/>
      <c r="P129" s="100"/>
      <c r="Q129" s="100"/>
      <c r="R129" s="100"/>
      <c r="S129" s="101"/>
      <c r="T129" s="105"/>
      <c r="U129" s="100"/>
      <c r="V129" s="100"/>
      <c r="W129" s="100"/>
      <c r="X129" s="100"/>
      <c r="Y129" s="100"/>
      <c r="Z129" s="100"/>
      <c r="AA129" s="101"/>
      <c r="AB129" s="100"/>
    </row>
    <row r="130" spans="2:28" x14ac:dyDescent="0.25">
      <c r="B130" s="100"/>
      <c r="C130" s="101"/>
      <c r="D130" s="105"/>
      <c r="E130" s="100"/>
      <c r="F130" s="106"/>
      <c r="G130" s="100"/>
      <c r="H130" s="100"/>
      <c r="I130" s="100"/>
      <c r="J130" s="101"/>
      <c r="K130" s="106"/>
      <c r="L130" s="100"/>
      <c r="M130" s="100"/>
      <c r="N130" s="100"/>
      <c r="O130" s="100"/>
      <c r="P130" s="100"/>
      <c r="Q130" s="100"/>
      <c r="R130" s="100"/>
      <c r="S130" s="101"/>
      <c r="T130" s="105"/>
      <c r="U130" s="100"/>
      <c r="V130" s="100"/>
      <c r="W130" s="100"/>
      <c r="X130" s="100"/>
      <c r="Y130" s="100"/>
      <c r="Z130" s="100"/>
      <c r="AA130" s="101"/>
      <c r="AB130" s="100"/>
    </row>
    <row r="131" spans="2:28" x14ac:dyDescent="0.25">
      <c r="B131" s="100"/>
      <c r="C131" s="101"/>
      <c r="D131" s="105"/>
      <c r="E131" s="101"/>
      <c r="F131" s="106"/>
      <c r="G131" s="108"/>
      <c r="H131" s="100"/>
      <c r="I131" s="100"/>
      <c r="J131" s="101"/>
      <c r="K131" s="106"/>
      <c r="L131" s="108"/>
      <c r="M131" s="100"/>
      <c r="N131" s="100"/>
      <c r="O131" s="100"/>
      <c r="P131" s="100"/>
      <c r="Q131" s="100"/>
      <c r="R131" s="100"/>
      <c r="S131" s="101"/>
      <c r="T131" s="105"/>
      <c r="U131" s="100"/>
      <c r="V131" s="100"/>
      <c r="W131" s="100"/>
      <c r="X131" s="100"/>
      <c r="Y131" s="100"/>
      <c r="Z131" s="100"/>
      <c r="AA131" s="101"/>
      <c r="AB131" s="100"/>
    </row>
    <row r="132" spans="2:28" x14ac:dyDescent="0.25">
      <c r="B132" s="100"/>
      <c r="C132" s="101"/>
      <c r="D132" s="105"/>
      <c r="E132" s="101"/>
      <c r="F132" s="106"/>
      <c r="G132" s="100"/>
      <c r="H132" s="100"/>
      <c r="I132" s="100"/>
      <c r="J132" s="101"/>
      <c r="K132" s="106"/>
      <c r="L132" s="100"/>
      <c r="M132" s="100"/>
      <c r="N132" s="100"/>
      <c r="O132" s="100"/>
      <c r="P132" s="100"/>
      <c r="Q132" s="100"/>
      <c r="R132" s="100"/>
      <c r="S132" s="101"/>
      <c r="T132" s="105"/>
      <c r="U132" s="100"/>
      <c r="V132" s="100"/>
      <c r="W132" s="100"/>
      <c r="X132" s="100"/>
      <c r="Y132" s="100"/>
      <c r="Z132" s="100"/>
      <c r="AA132" s="101"/>
      <c r="AB132" s="100"/>
    </row>
    <row r="133" spans="2:28" x14ac:dyDescent="0.25">
      <c r="B133" s="100"/>
      <c r="C133" s="101"/>
      <c r="D133" s="105"/>
      <c r="E133" s="101"/>
      <c r="F133" s="106"/>
      <c r="G133" s="100"/>
      <c r="H133" s="100"/>
      <c r="I133" s="100"/>
      <c r="J133" s="101"/>
      <c r="K133" s="106"/>
      <c r="L133" s="100"/>
      <c r="M133" s="100"/>
      <c r="N133" s="100"/>
      <c r="O133" s="100"/>
      <c r="P133" s="100"/>
      <c r="Q133" s="100"/>
      <c r="R133" s="100"/>
      <c r="S133" s="101"/>
      <c r="T133" s="105"/>
      <c r="U133" s="100"/>
      <c r="V133" s="100"/>
      <c r="W133" s="100"/>
      <c r="X133" s="100"/>
      <c r="Y133" s="100"/>
      <c r="Z133" s="100"/>
      <c r="AA133" s="101"/>
      <c r="AB133" s="100"/>
    </row>
    <row r="134" spans="2:28" x14ac:dyDescent="0.25">
      <c r="B134" s="100"/>
      <c r="C134" s="100"/>
      <c r="D134" s="100"/>
      <c r="E134" s="101"/>
      <c r="F134" s="105"/>
      <c r="G134" s="100"/>
      <c r="H134" s="100"/>
      <c r="I134" s="100"/>
      <c r="J134" s="101"/>
      <c r="K134" s="105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 spans="2:28" x14ac:dyDescent="0.25"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1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 spans="2:28" x14ac:dyDescent="0.25"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 spans="2:28" x14ac:dyDescent="0.25">
      <c r="C137" s="98"/>
      <c r="D137" s="99"/>
      <c r="E137" s="97"/>
      <c r="F137" s="97"/>
      <c r="G137" s="97"/>
      <c r="H137" s="97"/>
      <c r="I137" s="97"/>
      <c r="J137" s="97"/>
      <c r="K137" s="97"/>
      <c r="L137" s="97"/>
      <c r="M137" s="97"/>
      <c r="N137" s="97"/>
    </row>
    <row r="138" spans="2:28" x14ac:dyDescent="0.25">
      <c r="C138" s="98"/>
      <c r="D138" s="99"/>
      <c r="E138" s="97"/>
      <c r="F138" s="97"/>
      <c r="G138" s="97"/>
      <c r="H138" s="97"/>
      <c r="I138" s="97"/>
      <c r="J138" s="97"/>
      <c r="K138" s="97"/>
      <c r="L138" s="97"/>
      <c r="M138" s="97"/>
      <c r="N138" s="97"/>
    </row>
    <row r="139" spans="2:28" x14ac:dyDescent="0.25">
      <c r="C139" s="98"/>
      <c r="D139" s="99"/>
      <c r="E139" s="97"/>
      <c r="F139" s="97"/>
      <c r="G139" s="97"/>
      <c r="H139" s="97"/>
      <c r="I139" s="97"/>
      <c r="J139" s="97"/>
      <c r="K139" s="97"/>
      <c r="L139" s="97"/>
      <c r="M139" s="97"/>
      <c r="N139" s="97"/>
    </row>
    <row r="140" spans="2:28" x14ac:dyDescent="0.25">
      <c r="C140" s="97"/>
      <c r="D140" s="99"/>
      <c r="E140" s="97"/>
      <c r="F140" s="97"/>
      <c r="G140" s="97"/>
      <c r="H140" s="97"/>
      <c r="I140" s="97"/>
      <c r="J140" s="97"/>
      <c r="K140" s="97"/>
      <c r="L140" s="97"/>
      <c r="M140" s="97"/>
      <c r="N140" s="97"/>
    </row>
    <row r="141" spans="2:28" x14ac:dyDescent="0.25"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</row>
    <row r="142" spans="2:28" x14ac:dyDescent="0.25"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</row>
  </sheetData>
  <autoFilter ref="B1:AR121" xr:uid="{9C3767A2-CE89-42C2-BA39-58C6C35E7E03}">
    <filterColumn colId="0">
      <filters blank="1">
        <filter val="Hubballi"/>
        <filter val="Koppal"/>
      </filters>
    </filterColumn>
  </autoFilter>
  <mergeCells count="5">
    <mergeCell ref="AQ1:AQ2"/>
    <mergeCell ref="AP1:AP2"/>
    <mergeCell ref="B1:B2"/>
    <mergeCell ref="C1:C2"/>
    <mergeCell ref="D1:D2"/>
  </mergeCells>
  <pageMargins left="0.25" right="0.25" top="0.75" bottom="0.75" header="0.3" footer="0.3"/>
  <pageSetup paperSize="9" scale="36" orientation="landscape" r:id="rId1"/>
  <headerFooter>
    <oddFooter>&amp;L_x000D_&amp;1#&amp;"Calibri"&amp;10&amp;K000000 Aequs Internal-Strictly this data should remain with Aequs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D742-1CDA-4288-9F70-2E2EEABD306B}">
  <sheetPr codeName="Sheet3" filterMode="1">
    <pageSetUpPr fitToPage="1"/>
  </sheetPr>
  <dimension ref="A1:W133"/>
  <sheetViews>
    <sheetView workbookViewId="0">
      <selection activeCell="C18" sqref="C18"/>
    </sheetView>
  </sheetViews>
  <sheetFormatPr defaultRowHeight="15" x14ac:dyDescent="0.25"/>
  <cols>
    <col min="3" max="3" width="38.28515625" style="33" customWidth="1"/>
    <col min="6" max="6" width="14.42578125" customWidth="1"/>
    <col min="13" max="13" width="20.7109375" customWidth="1"/>
  </cols>
  <sheetData>
    <row r="1" spans="1:23" ht="15.75" thickBot="1" x14ac:dyDescent="0.3">
      <c r="A1" s="85" t="s">
        <v>6</v>
      </c>
      <c r="B1" s="85" t="s">
        <v>70</v>
      </c>
      <c r="C1" s="87" t="s">
        <v>16</v>
      </c>
      <c r="D1" s="89" t="s">
        <v>25</v>
      </c>
      <c r="E1" s="89"/>
      <c r="F1" s="89"/>
      <c r="G1" s="89"/>
      <c r="H1" s="54" t="s">
        <v>37</v>
      </c>
      <c r="I1" s="55"/>
      <c r="J1" s="90" t="s">
        <v>36</v>
      </c>
      <c r="M1" s="92" t="s">
        <v>39</v>
      </c>
      <c r="N1" s="93"/>
      <c r="O1" s="93"/>
      <c r="P1" s="93"/>
      <c r="Q1" s="93"/>
      <c r="R1" s="83"/>
      <c r="S1" s="83"/>
      <c r="T1" s="83"/>
      <c r="U1" s="83"/>
      <c r="V1" s="83"/>
      <c r="W1" s="84"/>
    </row>
    <row r="2" spans="1:23" ht="15.75" hidden="1" thickBot="1" x14ac:dyDescent="0.3">
      <c r="A2" s="86"/>
      <c r="B2" s="94"/>
      <c r="C2" s="88"/>
      <c r="D2" s="16" t="s">
        <v>18</v>
      </c>
      <c r="E2" s="16" t="s">
        <v>19</v>
      </c>
      <c r="F2" s="16" t="s">
        <v>20</v>
      </c>
      <c r="G2" s="16" t="s">
        <v>21</v>
      </c>
      <c r="H2" s="17" t="s">
        <v>38</v>
      </c>
      <c r="I2" s="18" t="s">
        <v>24</v>
      </c>
      <c r="J2" s="91"/>
      <c r="M2" s="82" t="s">
        <v>25</v>
      </c>
      <c r="N2" s="83"/>
      <c r="O2" s="83"/>
      <c r="P2" s="83"/>
      <c r="Q2" s="84"/>
      <c r="R2" s="82" t="s">
        <v>22</v>
      </c>
      <c r="S2" s="83"/>
      <c r="T2" s="83"/>
      <c r="U2" s="83"/>
      <c r="V2" s="83"/>
      <c r="W2" s="84"/>
    </row>
    <row r="3" spans="1:23" hidden="1" x14ac:dyDescent="0.25">
      <c r="A3" s="15">
        <v>1</v>
      </c>
      <c r="B3" s="10" t="s">
        <v>80</v>
      </c>
      <c r="C3" s="10" t="s">
        <v>8</v>
      </c>
      <c r="D3">
        <f>'Total Notebooks (Final)'!F3+'Total Notebooks (Final)'!K3+'Total Notebooks (Final)'!P3+'Total Notebooks (Final)'!U3</f>
        <v>90</v>
      </c>
      <c r="E3">
        <f>'Total Notebooks (Final)'!G3+'Total Notebooks (Final)'!L3+'Total Notebooks (Final)'!Q3+'Total Notebooks (Final)'!V3</f>
        <v>90</v>
      </c>
      <c r="F3">
        <f>'Total Notebooks (Final)'!H3+'Total Notebooks (Final)'!M3+'Total Notebooks (Final)'!R3+'Total Notebooks (Final)'!W3</f>
        <v>90</v>
      </c>
      <c r="G3">
        <f>'Total Notebooks (Final)'!I3+'Total Notebooks (Final)'!N3+'Total Notebooks (Final)'!S3+'Total Notebooks (Final)'!X3</f>
        <v>90</v>
      </c>
      <c r="H3">
        <f>'Total Notebooks (Final)'!Z3+'Total Notebooks (Final)'!AB3+'Total Notebooks (Final)'!AD3+'Total Notebooks (Final)'!AF3+'Total Notebooks (Final)'!AH3+'Total Notebooks (Final)'!AK3</f>
        <v>1536</v>
      </c>
      <c r="I3">
        <f>'Total Notebooks (Final)'!AI3+'Total Notebooks (Final)'!AL3</f>
        <v>0</v>
      </c>
      <c r="J3" s="13">
        <f>SUM(D3:I3)</f>
        <v>1896</v>
      </c>
      <c r="M3" s="14"/>
      <c r="N3" s="4" t="s">
        <v>26</v>
      </c>
      <c r="O3" s="4" t="s">
        <v>27</v>
      </c>
      <c r="P3" s="4" t="s">
        <v>28</v>
      </c>
      <c r="Q3" s="12" t="s">
        <v>29</v>
      </c>
      <c r="R3" s="4" t="s">
        <v>30</v>
      </c>
      <c r="S3" s="4" t="s">
        <v>31</v>
      </c>
      <c r="T3" s="4" t="s">
        <v>32</v>
      </c>
      <c r="U3" s="4" t="s">
        <v>33</v>
      </c>
      <c r="V3" s="4" t="s">
        <v>34</v>
      </c>
      <c r="W3" s="12" t="s">
        <v>35</v>
      </c>
    </row>
    <row r="4" spans="1:23" hidden="1" x14ac:dyDescent="0.25">
      <c r="A4" s="3">
        <v>2</v>
      </c>
      <c r="B4" s="10" t="s">
        <v>80</v>
      </c>
      <c r="C4" s="10" t="s">
        <v>2</v>
      </c>
      <c r="D4">
        <f>'Total Notebooks (Final)'!F4+'Total Notebooks (Final)'!K4+'Total Notebooks (Final)'!P4+'Total Notebooks (Final)'!U4</f>
        <v>56</v>
      </c>
      <c r="E4">
        <f>'Total Notebooks (Final)'!G4+'Total Notebooks (Final)'!L4+'Total Notebooks (Final)'!Q4+'Total Notebooks (Final)'!V4</f>
        <v>56</v>
      </c>
      <c r="F4">
        <f>'Total Notebooks (Final)'!H4+'Total Notebooks (Final)'!M4+'Total Notebooks (Final)'!R4+'Total Notebooks (Final)'!W4</f>
        <v>56</v>
      </c>
      <c r="G4">
        <f>'Total Notebooks (Final)'!I4+'Total Notebooks (Final)'!N4+'Total Notebooks (Final)'!S4+'Total Notebooks (Final)'!X4</f>
        <v>56</v>
      </c>
      <c r="H4">
        <f>'Total Notebooks (Final)'!Z4+'Total Notebooks (Final)'!AB4+'Total Notebooks (Final)'!AD4+'Total Notebooks (Final)'!AF4+'Total Notebooks (Final)'!AH4+'Total Notebooks (Final)'!AK4</f>
        <v>592</v>
      </c>
      <c r="I4">
        <f>'Total Notebooks (Final)'!AI4+'Total Notebooks (Final)'!AL4</f>
        <v>0</v>
      </c>
      <c r="J4" s="13">
        <f t="shared" ref="J4:J67" si="0">SUM(D4:I4)</f>
        <v>816</v>
      </c>
      <c r="M4" s="14" t="s">
        <v>18</v>
      </c>
      <c r="N4" s="5">
        <v>1</v>
      </c>
      <c r="O4" s="5">
        <v>1</v>
      </c>
      <c r="P4" s="5">
        <v>2</v>
      </c>
      <c r="Q4" s="6">
        <v>2</v>
      </c>
      <c r="R4" s="5">
        <v>6</v>
      </c>
      <c r="S4" s="5">
        <v>6</v>
      </c>
      <c r="T4" s="5">
        <v>8</v>
      </c>
      <c r="U4" s="5">
        <v>8</v>
      </c>
      <c r="V4" s="5">
        <v>6</v>
      </c>
      <c r="W4" s="6">
        <v>8</v>
      </c>
    </row>
    <row r="5" spans="1:23" hidden="1" x14ac:dyDescent="0.25">
      <c r="A5" s="15">
        <v>3</v>
      </c>
      <c r="B5" s="10" t="s">
        <v>80</v>
      </c>
      <c r="C5" s="10" t="s">
        <v>1</v>
      </c>
      <c r="D5">
        <f>'Total Notebooks (Final)'!F5+'Total Notebooks (Final)'!K5+'Total Notebooks (Final)'!P5+'Total Notebooks (Final)'!U5</f>
        <v>60</v>
      </c>
      <c r="E5">
        <f>'Total Notebooks (Final)'!G5+'Total Notebooks (Final)'!L5+'Total Notebooks (Final)'!Q5+'Total Notebooks (Final)'!V5</f>
        <v>60</v>
      </c>
      <c r="F5">
        <f>'Total Notebooks (Final)'!H5+'Total Notebooks (Final)'!M5+'Total Notebooks (Final)'!R5+'Total Notebooks (Final)'!W5</f>
        <v>60</v>
      </c>
      <c r="G5">
        <f>'Total Notebooks (Final)'!I5+'Total Notebooks (Final)'!N5+'Total Notebooks (Final)'!S5+'Total Notebooks (Final)'!X5</f>
        <v>60</v>
      </c>
      <c r="H5">
        <f>'Total Notebooks (Final)'!Z5+'Total Notebooks (Final)'!AB5+'Total Notebooks (Final)'!AD5+'Total Notebooks (Final)'!AF5+'Total Notebooks (Final)'!AH5+'Total Notebooks (Final)'!AK5</f>
        <v>592</v>
      </c>
      <c r="I5">
        <f>'Total Notebooks (Final)'!AI5+'Total Notebooks (Final)'!AL5</f>
        <v>0</v>
      </c>
      <c r="J5" s="13">
        <f t="shared" si="0"/>
        <v>832</v>
      </c>
      <c r="M5" s="14" t="s">
        <v>19</v>
      </c>
      <c r="N5" s="5">
        <v>1</v>
      </c>
      <c r="O5" s="5">
        <v>1</v>
      </c>
      <c r="P5" s="5">
        <v>1</v>
      </c>
      <c r="Q5" s="6">
        <v>1</v>
      </c>
      <c r="R5" s="5"/>
      <c r="S5" s="5"/>
      <c r="T5" s="5"/>
      <c r="U5" s="5"/>
      <c r="V5" s="5"/>
      <c r="W5" s="6"/>
    </row>
    <row r="6" spans="1:23" hidden="1" x14ac:dyDescent="0.25">
      <c r="A6" s="3">
        <v>4</v>
      </c>
      <c r="B6" s="10" t="s">
        <v>80</v>
      </c>
      <c r="C6" s="10" t="s">
        <v>9</v>
      </c>
      <c r="D6">
        <f>'Total Notebooks (Final)'!F6+'Total Notebooks (Final)'!K6+'Total Notebooks (Final)'!P6+'Total Notebooks (Final)'!U6</f>
        <v>90</v>
      </c>
      <c r="E6">
        <f>'Total Notebooks (Final)'!G6+'Total Notebooks (Final)'!L6+'Total Notebooks (Final)'!Q6+'Total Notebooks (Final)'!V6</f>
        <v>90</v>
      </c>
      <c r="F6">
        <f>'Total Notebooks (Final)'!H6+'Total Notebooks (Final)'!M6+'Total Notebooks (Final)'!R6+'Total Notebooks (Final)'!W6</f>
        <v>90</v>
      </c>
      <c r="G6">
        <f>'Total Notebooks (Final)'!I6+'Total Notebooks (Final)'!N6+'Total Notebooks (Final)'!S6+'Total Notebooks (Final)'!X6</f>
        <v>90</v>
      </c>
      <c r="H6">
        <f>'Total Notebooks (Final)'!Z6+'Total Notebooks (Final)'!AB6+'Total Notebooks (Final)'!AD6+'Total Notebooks (Final)'!AF6+'Total Notebooks (Final)'!AH6+'Total Notebooks (Final)'!AK6</f>
        <v>568</v>
      </c>
      <c r="I6">
        <f>'Total Notebooks (Final)'!AI6+'Total Notebooks (Final)'!AL6</f>
        <v>0</v>
      </c>
      <c r="J6" s="13">
        <f t="shared" si="0"/>
        <v>928</v>
      </c>
      <c r="M6" s="14" t="s">
        <v>21</v>
      </c>
      <c r="N6" s="5">
        <v>1</v>
      </c>
      <c r="O6" s="5">
        <v>1</v>
      </c>
      <c r="P6" s="5">
        <v>1</v>
      </c>
      <c r="Q6" s="6">
        <v>1</v>
      </c>
      <c r="R6" s="5"/>
      <c r="S6" s="5"/>
      <c r="T6" s="5"/>
      <c r="U6" s="5"/>
      <c r="V6" s="5"/>
      <c r="W6" s="6"/>
    </row>
    <row r="7" spans="1:23" hidden="1" x14ac:dyDescent="0.25">
      <c r="A7" s="15">
        <v>5</v>
      </c>
      <c r="B7" s="10" t="s">
        <v>80</v>
      </c>
      <c r="C7" s="10" t="s">
        <v>10</v>
      </c>
      <c r="D7">
        <f>'Total Notebooks (Final)'!F7+'Total Notebooks (Final)'!K7+'Total Notebooks (Final)'!P7+'Total Notebooks (Final)'!U7</f>
        <v>22</v>
      </c>
      <c r="E7">
        <f>'Total Notebooks (Final)'!G7+'Total Notebooks (Final)'!L7+'Total Notebooks (Final)'!Q7+'Total Notebooks (Final)'!V7</f>
        <v>22</v>
      </c>
      <c r="F7">
        <f>'Total Notebooks (Final)'!H7+'Total Notebooks (Final)'!M7+'Total Notebooks (Final)'!R7+'Total Notebooks (Final)'!W7</f>
        <v>22</v>
      </c>
      <c r="G7">
        <f>'Total Notebooks (Final)'!I7+'Total Notebooks (Final)'!N7+'Total Notebooks (Final)'!S7+'Total Notebooks (Final)'!X7</f>
        <v>22</v>
      </c>
      <c r="H7">
        <f>'Total Notebooks (Final)'!Z7+'Total Notebooks (Final)'!AB7+'Total Notebooks (Final)'!AD7+'Total Notebooks (Final)'!AF7+'Total Notebooks (Final)'!AH7+'Total Notebooks (Final)'!AK7</f>
        <v>0</v>
      </c>
      <c r="I7">
        <f>'Total Notebooks (Final)'!AI7+'Total Notebooks (Final)'!AL7</f>
        <v>0</v>
      </c>
      <c r="J7" s="13">
        <f t="shared" si="0"/>
        <v>88</v>
      </c>
      <c r="M7" s="14" t="s">
        <v>20</v>
      </c>
      <c r="N7" s="5">
        <v>1</v>
      </c>
      <c r="O7" s="5">
        <v>1</v>
      </c>
      <c r="P7" s="5">
        <v>1</v>
      </c>
      <c r="Q7" s="6">
        <v>1</v>
      </c>
      <c r="R7" s="5">
        <v>2</v>
      </c>
      <c r="S7" s="5">
        <v>2</v>
      </c>
      <c r="T7" s="5"/>
      <c r="U7" s="5"/>
      <c r="V7" s="5"/>
      <c r="W7" s="6"/>
    </row>
    <row r="8" spans="1:23" hidden="1" x14ac:dyDescent="0.25">
      <c r="A8" s="3">
        <v>6</v>
      </c>
      <c r="B8" s="10" t="s">
        <v>80</v>
      </c>
      <c r="C8" s="10" t="s">
        <v>3</v>
      </c>
      <c r="D8">
        <f>'Total Notebooks (Final)'!F8+'Total Notebooks (Final)'!K8+'Total Notebooks (Final)'!P8+'Total Notebooks (Final)'!U8</f>
        <v>90</v>
      </c>
      <c r="E8">
        <f>'Total Notebooks (Final)'!G8+'Total Notebooks (Final)'!L8+'Total Notebooks (Final)'!Q8+'Total Notebooks (Final)'!V8</f>
        <v>90</v>
      </c>
      <c r="F8">
        <f>'Total Notebooks (Final)'!H8+'Total Notebooks (Final)'!M8+'Total Notebooks (Final)'!R8+'Total Notebooks (Final)'!W8</f>
        <v>90</v>
      </c>
      <c r="G8">
        <f>'Total Notebooks (Final)'!I8+'Total Notebooks (Final)'!N8+'Total Notebooks (Final)'!S8+'Total Notebooks (Final)'!X8</f>
        <v>90</v>
      </c>
      <c r="H8">
        <f>'Total Notebooks (Final)'!Z8+'Total Notebooks (Final)'!AB8+'Total Notebooks (Final)'!AD8+'Total Notebooks (Final)'!AF8+'Total Notebooks (Final)'!AH8+'Total Notebooks (Final)'!AK8</f>
        <v>448</v>
      </c>
      <c r="I8">
        <f>'Total Notebooks (Final)'!AI8+'Total Notebooks (Final)'!AL8</f>
        <v>0</v>
      </c>
      <c r="J8" s="13">
        <f t="shared" si="0"/>
        <v>808</v>
      </c>
      <c r="M8" s="14" t="s">
        <v>24</v>
      </c>
      <c r="N8" s="5"/>
      <c r="O8" s="5"/>
      <c r="P8" s="5"/>
      <c r="Q8" s="6"/>
      <c r="R8" s="5"/>
      <c r="S8" s="5"/>
      <c r="T8" s="5"/>
      <c r="U8" s="5"/>
      <c r="V8" s="5">
        <v>4</v>
      </c>
      <c r="W8" s="6">
        <v>4</v>
      </c>
    </row>
    <row r="9" spans="1:23" hidden="1" x14ac:dyDescent="0.25">
      <c r="A9" s="15">
        <v>7</v>
      </c>
      <c r="B9" s="10" t="s">
        <v>80</v>
      </c>
      <c r="C9" s="10" t="s">
        <v>4</v>
      </c>
      <c r="D9">
        <f>'Total Notebooks (Final)'!F9+'Total Notebooks (Final)'!K9+'Total Notebooks (Final)'!P9+'Total Notebooks (Final)'!U9</f>
        <v>45</v>
      </c>
      <c r="E9">
        <f>'Total Notebooks (Final)'!G9+'Total Notebooks (Final)'!L9+'Total Notebooks (Final)'!Q9+'Total Notebooks (Final)'!V9</f>
        <v>45</v>
      </c>
      <c r="F9">
        <f>'Total Notebooks (Final)'!H9+'Total Notebooks (Final)'!M9+'Total Notebooks (Final)'!R9+'Total Notebooks (Final)'!W9</f>
        <v>45</v>
      </c>
      <c r="G9">
        <f>'Total Notebooks (Final)'!I9+'Total Notebooks (Final)'!N9+'Total Notebooks (Final)'!S9+'Total Notebooks (Final)'!X9</f>
        <v>45</v>
      </c>
      <c r="H9">
        <f>'Total Notebooks (Final)'!Z9+'Total Notebooks (Final)'!AB9+'Total Notebooks (Final)'!AD9+'Total Notebooks (Final)'!AF9+'Total Notebooks (Final)'!AH9+'Total Notebooks (Final)'!AK9</f>
        <v>400</v>
      </c>
      <c r="I9">
        <f>'Total Notebooks (Final)'!AI9+'Total Notebooks (Final)'!AL9</f>
        <v>0</v>
      </c>
      <c r="J9" s="13">
        <f t="shared" si="0"/>
        <v>580</v>
      </c>
      <c r="M9" s="28" t="s">
        <v>64</v>
      </c>
      <c r="N9" s="29">
        <f t="shared" ref="N9:W9" si="1">SUM(N4:N8)</f>
        <v>4</v>
      </c>
      <c r="O9" s="29">
        <f t="shared" si="1"/>
        <v>4</v>
      </c>
      <c r="P9" s="29">
        <f t="shared" si="1"/>
        <v>5</v>
      </c>
      <c r="Q9" s="30">
        <f t="shared" si="1"/>
        <v>5</v>
      </c>
      <c r="R9" s="29">
        <f t="shared" si="1"/>
        <v>8</v>
      </c>
      <c r="S9" s="29">
        <f t="shared" si="1"/>
        <v>8</v>
      </c>
      <c r="T9" s="29">
        <f t="shared" si="1"/>
        <v>8</v>
      </c>
      <c r="U9" s="29">
        <f t="shared" si="1"/>
        <v>8</v>
      </c>
      <c r="V9" s="29">
        <f t="shared" si="1"/>
        <v>10</v>
      </c>
      <c r="W9" s="30">
        <f t="shared" si="1"/>
        <v>12</v>
      </c>
    </row>
    <row r="10" spans="1:23" ht="15.75" hidden="1" thickBot="1" x14ac:dyDescent="0.3">
      <c r="A10" s="3">
        <v>8</v>
      </c>
      <c r="B10" s="10" t="s">
        <v>80</v>
      </c>
      <c r="C10" s="10" t="s">
        <v>11</v>
      </c>
      <c r="D10">
        <f>'Total Notebooks (Final)'!F10+'Total Notebooks (Final)'!K10+'Total Notebooks (Final)'!P10+'Total Notebooks (Final)'!U10</f>
        <v>32</v>
      </c>
      <c r="E10">
        <f>'Total Notebooks (Final)'!G10+'Total Notebooks (Final)'!L10+'Total Notebooks (Final)'!Q10+'Total Notebooks (Final)'!V10</f>
        <v>32</v>
      </c>
      <c r="F10">
        <f>'Total Notebooks (Final)'!H10+'Total Notebooks (Final)'!M10+'Total Notebooks (Final)'!R10+'Total Notebooks (Final)'!W10</f>
        <v>32</v>
      </c>
      <c r="G10">
        <f>'Total Notebooks (Final)'!I10+'Total Notebooks (Final)'!N10+'Total Notebooks (Final)'!S10+'Total Notebooks (Final)'!X10</f>
        <v>32</v>
      </c>
      <c r="H10">
        <f>'Total Notebooks (Final)'!Z10+'Total Notebooks (Final)'!AB10+'Total Notebooks (Final)'!AD10+'Total Notebooks (Final)'!AF10+'Total Notebooks (Final)'!AH10+'Total Notebooks (Final)'!AK10</f>
        <v>256</v>
      </c>
      <c r="I10">
        <f>'Total Notebooks (Final)'!AI10+'Total Notebooks (Final)'!AL10</f>
        <v>0</v>
      </c>
      <c r="J10" s="13">
        <f t="shared" si="0"/>
        <v>384</v>
      </c>
      <c r="M10" s="7"/>
      <c r="N10" s="8"/>
      <c r="O10" s="8"/>
      <c r="P10" s="8"/>
      <c r="Q10" s="9"/>
      <c r="R10" s="8"/>
      <c r="S10" s="8"/>
      <c r="T10" s="8"/>
      <c r="U10" s="8"/>
      <c r="V10" s="8"/>
      <c r="W10" s="9"/>
    </row>
    <row r="11" spans="1:23" hidden="1" x14ac:dyDescent="0.25">
      <c r="A11" s="15">
        <v>9</v>
      </c>
      <c r="B11" s="10" t="s">
        <v>80</v>
      </c>
      <c r="C11" s="10" t="s">
        <v>12</v>
      </c>
      <c r="D11">
        <f>'Total Notebooks (Final)'!F11+'Total Notebooks (Final)'!K11+'Total Notebooks (Final)'!P11+'Total Notebooks (Final)'!U11</f>
        <v>91</v>
      </c>
      <c r="E11">
        <f>'Total Notebooks (Final)'!G11+'Total Notebooks (Final)'!L11+'Total Notebooks (Final)'!Q11+'Total Notebooks (Final)'!V11</f>
        <v>91</v>
      </c>
      <c r="F11">
        <f>'Total Notebooks (Final)'!H11+'Total Notebooks (Final)'!M11+'Total Notebooks (Final)'!R11+'Total Notebooks (Final)'!W11</f>
        <v>91</v>
      </c>
      <c r="G11">
        <f>'Total Notebooks (Final)'!I11+'Total Notebooks (Final)'!N11+'Total Notebooks (Final)'!S11+'Total Notebooks (Final)'!X11</f>
        <v>91</v>
      </c>
      <c r="H11">
        <f>'Total Notebooks (Final)'!Z11+'Total Notebooks (Final)'!AB11+'Total Notebooks (Final)'!AD11+'Total Notebooks (Final)'!AF11+'Total Notebooks (Final)'!AH11+'Total Notebooks (Final)'!AK11</f>
        <v>736</v>
      </c>
      <c r="I11">
        <f>'Total Notebooks (Final)'!AI11+'Total Notebooks (Final)'!AL11</f>
        <v>0</v>
      </c>
      <c r="J11" s="13">
        <f t="shared" si="0"/>
        <v>1100</v>
      </c>
    </row>
    <row r="12" spans="1:23" hidden="1" x14ac:dyDescent="0.25">
      <c r="A12" s="3">
        <v>10</v>
      </c>
      <c r="B12" s="10" t="s">
        <v>80</v>
      </c>
      <c r="C12" s="10" t="s">
        <v>0</v>
      </c>
      <c r="D12">
        <f>'Total Notebooks (Final)'!F12+'Total Notebooks (Final)'!K12+'Total Notebooks (Final)'!P12+'Total Notebooks (Final)'!U12</f>
        <v>60</v>
      </c>
      <c r="E12">
        <f>'Total Notebooks (Final)'!G12+'Total Notebooks (Final)'!L12+'Total Notebooks (Final)'!Q12+'Total Notebooks (Final)'!V12</f>
        <v>60</v>
      </c>
      <c r="F12">
        <f>'Total Notebooks (Final)'!H12+'Total Notebooks (Final)'!M12+'Total Notebooks (Final)'!R12+'Total Notebooks (Final)'!W12</f>
        <v>60</v>
      </c>
      <c r="G12">
        <f>'Total Notebooks (Final)'!I12+'Total Notebooks (Final)'!N12+'Total Notebooks (Final)'!S12+'Total Notebooks (Final)'!X12</f>
        <v>60</v>
      </c>
      <c r="H12">
        <f>'Total Notebooks (Final)'!Z12+'Total Notebooks (Final)'!AB12+'Total Notebooks (Final)'!AD12+'Total Notebooks (Final)'!AF12+'Total Notebooks (Final)'!AH12+'Total Notebooks (Final)'!AK12</f>
        <v>552</v>
      </c>
      <c r="I12">
        <f>'Total Notebooks (Final)'!AI12+'Total Notebooks (Final)'!AL12</f>
        <v>0</v>
      </c>
      <c r="J12" s="13">
        <f t="shared" si="0"/>
        <v>792</v>
      </c>
    </row>
    <row r="13" spans="1:23" hidden="1" x14ac:dyDescent="0.25">
      <c r="A13" s="15">
        <v>11</v>
      </c>
      <c r="B13" s="10" t="s">
        <v>80</v>
      </c>
      <c r="C13" s="10" t="s">
        <v>13</v>
      </c>
      <c r="D13">
        <f>'Total Notebooks (Final)'!F13+'Total Notebooks (Final)'!K13+'Total Notebooks (Final)'!P13+'Total Notebooks (Final)'!U13</f>
        <v>0</v>
      </c>
      <c r="E13">
        <f>'Total Notebooks (Final)'!G13+'Total Notebooks (Final)'!L13+'Total Notebooks (Final)'!Q13+'Total Notebooks (Final)'!V13</f>
        <v>0</v>
      </c>
      <c r="F13">
        <f>'Total Notebooks (Final)'!H13+'Total Notebooks (Final)'!M13+'Total Notebooks (Final)'!R13+'Total Notebooks (Final)'!W13</f>
        <v>0</v>
      </c>
      <c r="G13">
        <f>'Total Notebooks (Final)'!I13+'Total Notebooks (Final)'!N13+'Total Notebooks (Final)'!S13+'Total Notebooks (Final)'!X13</f>
        <v>0</v>
      </c>
      <c r="H13">
        <f>'Total Notebooks (Final)'!Z13+'Total Notebooks (Final)'!AB13+'Total Notebooks (Final)'!AD13+'Total Notebooks (Final)'!AF13+'Total Notebooks (Final)'!AH13+'Total Notebooks (Final)'!AK13</f>
        <v>3040</v>
      </c>
      <c r="I13">
        <f>'Total Notebooks (Final)'!AI13+'Total Notebooks (Final)'!AL13</f>
        <v>1160</v>
      </c>
      <c r="J13" s="13">
        <f t="shared" si="0"/>
        <v>4200</v>
      </c>
    </row>
    <row r="14" spans="1:23" hidden="1" x14ac:dyDescent="0.25">
      <c r="A14" s="3">
        <v>12</v>
      </c>
      <c r="B14" s="10" t="s">
        <v>80</v>
      </c>
      <c r="C14" s="10" t="s">
        <v>7</v>
      </c>
      <c r="D14">
        <f>'Total Notebooks (Final)'!F14+'Total Notebooks (Final)'!K14+'Total Notebooks (Final)'!P14+'Total Notebooks (Final)'!U14</f>
        <v>0</v>
      </c>
      <c r="E14">
        <f>'Total Notebooks (Final)'!G14+'Total Notebooks (Final)'!L14+'Total Notebooks (Final)'!Q14+'Total Notebooks (Final)'!V14</f>
        <v>0</v>
      </c>
      <c r="F14">
        <f>'Total Notebooks (Final)'!H14+'Total Notebooks (Final)'!M14+'Total Notebooks (Final)'!R14+'Total Notebooks (Final)'!W14</f>
        <v>0</v>
      </c>
      <c r="G14">
        <f>'Total Notebooks (Final)'!I14+'Total Notebooks (Final)'!N14+'Total Notebooks (Final)'!S14+'Total Notebooks (Final)'!X14</f>
        <v>0</v>
      </c>
      <c r="H14">
        <f>'Total Notebooks (Final)'!Z14+'Total Notebooks (Final)'!AB14+'Total Notebooks (Final)'!AD14+'Total Notebooks (Final)'!AF14+'Total Notebooks (Final)'!AH14+'Total Notebooks (Final)'!AK14</f>
        <v>1184</v>
      </c>
      <c r="I14">
        <f>'Total Notebooks (Final)'!AI14+'Total Notebooks (Final)'!AL14</f>
        <v>392</v>
      </c>
      <c r="J14" s="13">
        <f t="shared" si="0"/>
        <v>1576</v>
      </c>
    </row>
    <row r="15" spans="1:23" hidden="1" x14ac:dyDescent="0.25">
      <c r="A15" s="15">
        <v>13</v>
      </c>
      <c r="B15" s="10" t="s">
        <v>80</v>
      </c>
      <c r="C15" s="10" t="s">
        <v>5</v>
      </c>
      <c r="D15">
        <f>'Total Notebooks (Final)'!F15+'Total Notebooks (Final)'!K15+'Total Notebooks (Final)'!P15+'Total Notebooks (Final)'!U15</f>
        <v>0</v>
      </c>
      <c r="E15">
        <f>'Total Notebooks (Final)'!G15+'Total Notebooks (Final)'!L15+'Total Notebooks (Final)'!Q15+'Total Notebooks (Final)'!V15</f>
        <v>0</v>
      </c>
      <c r="F15">
        <f>'Total Notebooks (Final)'!H15+'Total Notebooks (Final)'!M15+'Total Notebooks (Final)'!R15+'Total Notebooks (Final)'!W15</f>
        <v>0</v>
      </c>
      <c r="G15">
        <f>'Total Notebooks (Final)'!I15+'Total Notebooks (Final)'!N15+'Total Notebooks (Final)'!S15+'Total Notebooks (Final)'!X15</f>
        <v>0</v>
      </c>
      <c r="H15">
        <f>'Total Notebooks (Final)'!Z15+'Total Notebooks (Final)'!AB15+'Total Notebooks (Final)'!AD15+'Total Notebooks (Final)'!AF15+'Total Notebooks (Final)'!AH15+'Total Notebooks (Final)'!AK15</f>
        <v>1488</v>
      </c>
      <c r="I15">
        <f>'Total Notebooks (Final)'!AI15+'Total Notebooks (Final)'!AL15</f>
        <v>492</v>
      </c>
      <c r="J15" s="13">
        <f t="shared" si="0"/>
        <v>1980</v>
      </c>
    </row>
    <row r="16" spans="1:23" hidden="1" x14ac:dyDescent="0.25">
      <c r="A16" s="3">
        <v>14</v>
      </c>
      <c r="B16" s="10" t="s">
        <v>80</v>
      </c>
      <c r="C16" s="10" t="s">
        <v>14</v>
      </c>
      <c r="D16">
        <f>'Total Notebooks (Final)'!F16+'Total Notebooks (Final)'!K16+'Total Notebooks (Final)'!P16+'Total Notebooks (Final)'!U16</f>
        <v>60</v>
      </c>
      <c r="E16">
        <f>'Total Notebooks (Final)'!G16+'Total Notebooks (Final)'!L16+'Total Notebooks (Final)'!Q16+'Total Notebooks (Final)'!V16</f>
        <v>60</v>
      </c>
      <c r="F16">
        <f>'Total Notebooks (Final)'!H16+'Total Notebooks (Final)'!M16+'Total Notebooks (Final)'!R16+'Total Notebooks (Final)'!W16</f>
        <v>60</v>
      </c>
      <c r="G16">
        <f>'Total Notebooks (Final)'!I16+'Total Notebooks (Final)'!N16+'Total Notebooks (Final)'!S16+'Total Notebooks (Final)'!X16</f>
        <v>60</v>
      </c>
      <c r="H16">
        <f>'Total Notebooks (Final)'!Z16+'Total Notebooks (Final)'!AB16+'Total Notebooks (Final)'!AD16+'Total Notebooks (Final)'!AF16+'Total Notebooks (Final)'!AH16+'Total Notebooks (Final)'!AK16</f>
        <v>352</v>
      </c>
      <c r="I16">
        <f>'Total Notebooks (Final)'!AI16+'Total Notebooks (Final)'!AL16</f>
        <v>0</v>
      </c>
      <c r="J16" s="13">
        <f t="shared" si="0"/>
        <v>592</v>
      </c>
    </row>
    <row r="17" spans="1:10" hidden="1" x14ac:dyDescent="0.25">
      <c r="A17" s="15">
        <v>15</v>
      </c>
      <c r="B17" s="10" t="s">
        <v>80</v>
      </c>
      <c r="C17" s="10" t="s">
        <v>15</v>
      </c>
      <c r="D17">
        <f>'Total Notebooks (Final)'!F17+'Total Notebooks (Final)'!K17+'Total Notebooks (Final)'!P17+'Total Notebooks (Final)'!U17</f>
        <v>48</v>
      </c>
      <c r="E17">
        <f>'Total Notebooks (Final)'!G17+'Total Notebooks (Final)'!L17+'Total Notebooks (Final)'!Q17+'Total Notebooks (Final)'!V17</f>
        <v>48</v>
      </c>
      <c r="F17">
        <f>'Total Notebooks (Final)'!H17+'Total Notebooks (Final)'!M17+'Total Notebooks (Final)'!R17+'Total Notebooks (Final)'!W17</f>
        <v>48</v>
      </c>
      <c r="G17">
        <f>'Total Notebooks (Final)'!I17+'Total Notebooks (Final)'!N17+'Total Notebooks (Final)'!S17+'Total Notebooks (Final)'!X17</f>
        <v>48</v>
      </c>
      <c r="H17">
        <f>'Total Notebooks (Final)'!Z17+'Total Notebooks (Final)'!AB17+'Total Notebooks (Final)'!AD17+'Total Notebooks (Final)'!AF17+'Total Notebooks (Final)'!AH17+'Total Notebooks (Final)'!AK17</f>
        <v>112</v>
      </c>
      <c r="I17">
        <f>'Total Notebooks (Final)'!AI17+'Total Notebooks (Final)'!AL17</f>
        <v>0</v>
      </c>
      <c r="J17" s="13">
        <f t="shared" si="0"/>
        <v>304</v>
      </c>
    </row>
    <row r="18" spans="1:10" x14ac:dyDescent="0.25">
      <c r="A18" s="3">
        <v>16</v>
      </c>
      <c r="B18" s="10" t="s">
        <v>71</v>
      </c>
      <c r="C18" s="10" t="s">
        <v>101</v>
      </c>
      <c r="D18">
        <f>'Total Notebooks (Final)'!F18+'Total Notebooks (Final)'!K18+'Total Notebooks (Final)'!P18+'Total Notebooks (Final)'!U18</f>
        <v>170</v>
      </c>
      <c r="E18">
        <f>'Total Notebooks (Final)'!G18+'Total Notebooks (Final)'!L18+'Total Notebooks (Final)'!Q18+'Total Notebooks (Final)'!V18</f>
        <v>170</v>
      </c>
      <c r="F18">
        <f>'Total Notebooks (Final)'!H18+'Total Notebooks (Final)'!M18+'Total Notebooks (Final)'!R18+'Total Notebooks (Final)'!W18</f>
        <v>170</v>
      </c>
      <c r="G18">
        <f>'Total Notebooks (Final)'!I18+'Total Notebooks (Final)'!N18+'Total Notebooks (Final)'!S18+'Total Notebooks (Final)'!X18</f>
        <v>170</v>
      </c>
      <c r="H18">
        <f>'Total Notebooks (Final)'!Z18+'Total Notebooks (Final)'!AB18+'Total Notebooks (Final)'!AD18+'Total Notebooks (Final)'!AF18+'Total Notebooks (Final)'!AH18+'Total Notebooks (Final)'!AK18</f>
        <v>1336</v>
      </c>
      <c r="I18">
        <f>'Total Notebooks (Final)'!AI18+'Total Notebooks (Final)'!AL18</f>
        <v>0</v>
      </c>
      <c r="J18" s="13">
        <f t="shared" si="0"/>
        <v>2016</v>
      </c>
    </row>
    <row r="19" spans="1:10" hidden="1" x14ac:dyDescent="0.25">
      <c r="A19" s="15">
        <v>17</v>
      </c>
      <c r="B19" s="10" t="s">
        <v>80</v>
      </c>
      <c r="C19" s="10" t="s">
        <v>44</v>
      </c>
      <c r="D19">
        <f>'Total Notebooks (Final)'!F19+'Total Notebooks (Final)'!K19+'Total Notebooks (Final)'!P19+'Total Notebooks (Final)'!U19</f>
        <v>119</v>
      </c>
      <c r="E19">
        <f>'Total Notebooks (Final)'!G19+'Total Notebooks (Final)'!L19+'Total Notebooks (Final)'!Q19+'Total Notebooks (Final)'!V19</f>
        <v>119</v>
      </c>
      <c r="F19">
        <f>'Total Notebooks (Final)'!H19+'Total Notebooks (Final)'!M19+'Total Notebooks (Final)'!R19+'Total Notebooks (Final)'!W19</f>
        <v>119</v>
      </c>
      <c r="G19">
        <f>'Total Notebooks (Final)'!I19+'Total Notebooks (Final)'!N19+'Total Notebooks (Final)'!S19+'Total Notebooks (Final)'!X19</f>
        <v>119</v>
      </c>
      <c r="H19">
        <f>'Total Notebooks (Final)'!Z19+'Total Notebooks (Final)'!AB19+'Total Notebooks (Final)'!AD19+'Total Notebooks (Final)'!AF19+'Total Notebooks (Final)'!AH19+'Total Notebooks (Final)'!AK19</f>
        <v>928</v>
      </c>
      <c r="I19">
        <f>'Total Notebooks (Final)'!AI19+'Total Notebooks (Final)'!AL19</f>
        <v>0</v>
      </c>
      <c r="J19" s="13">
        <f t="shared" si="0"/>
        <v>1404</v>
      </c>
    </row>
    <row r="20" spans="1:10" hidden="1" x14ac:dyDescent="0.25">
      <c r="A20" s="3">
        <v>18</v>
      </c>
      <c r="B20" s="10" t="s">
        <v>80</v>
      </c>
      <c r="C20" s="10" t="s">
        <v>164</v>
      </c>
      <c r="D20">
        <f>'Total Notebooks (Final)'!F20+'Total Notebooks (Final)'!K20+'Total Notebooks (Final)'!P20+'Total Notebooks (Final)'!U20</f>
        <v>27</v>
      </c>
      <c r="E20">
        <f>'Total Notebooks (Final)'!G20+'Total Notebooks (Final)'!L20+'Total Notebooks (Final)'!Q20+'Total Notebooks (Final)'!V20</f>
        <v>27</v>
      </c>
      <c r="F20">
        <f>'Total Notebooks (Final)'!H20+'Total Notebooks (Final)'!M20+'Total Notebooks (Final)'!R20+'Total Notebooks (Final)'!W20</f>
        <v>27</v>
      </c>
      <c r="G20">
        <f>'Total Notebooks (Final)'!I20+'Total Notebooks (Final)'!N20+'Total Notebooks (Final)'!S20+'Total Notebooks (Final)'!X20</f>
        <v>27</v>
      </c>
      <c r="H20">
        <f>'Total Notebooks (Final)'!Z20+'Total Notebooks (Final)'!AB20+'Total Notebooks (Final)'!AD20+'Total Notebooks (Final)'!AF20+'Total Notebooks (Final)'!AH20+'Total Notebooks (Final)'!AK20</f>
        <v>240</v>
      </c>
      <c r="I20">
        <f>'Total Notebooks (Final)'!AI20+'Total Notebooks (Final)'!AL20</f>
        <v>0</v>
      </c>
      <c r="J20" s="13">
        <f t="shared" si="0"/>
        <v>348</v>
      </c>
    </row>
    <row r="21" spans="1:10" hidden="1" x14ac:dyDescent="0.25">
      <c r="A21" s="15">
        <v>19</v>
      </c>
      <c r="B21" s="10" t="s">
        <v>80</v>
      </c>
      <c r="C21" s="10" t="s">
        <v>41</v>
      </c>
      <c r="D21">
        <f>'Total Notebooks (Final)'!F21+'Total Notebooks (Final)'!K21+'Total Notebooks (Final)'!P21+'Total Notebooks (Final)'!U21</f>
        <v>134</v>
      </c>
      <c r="E21">
        <f>'Total Notebooks (Final)'!G21+'Total Notebooks (Final)'!L21+'Total Notebooks (Final)'!Q21+'Total Notebooks (Final)'!V21</f>
        <v>134</v>
      </c>
      <c r="F21">
        <f>'Total Notebooks (Final)'!H21+'Total Notebooks (Final)'!M21+'Total Notebooks (Final)'!R21+'Total Notebooks (Final)'!W21</f>
        <v>134</v>
      </c>
      <c r="G21">
        <f>'Total Notebooks (Final)'!I21+'Total Notebooks (Final)'!N21+'Total Notebooks (Final)'!S21+'Total Notebooks (Final)'!X21</f>
        <v>134</v>
      </c>
      <c r="H21">
        <f>'Total Notebooks (Final)'!Z21+'Total Notebooks (Final)'!AB21+'Total Notebooks (Final)'!AD21+'Total Notebooks (Final)'!AF21+'Total Notebooks (Final)'!AH21+'Total Notebooks (Final)'!AK21</f>
        <v>840</v>
      </c>
      <c r="I21">
        <f>'Total Notebooks (Final)'!AI21+'Total Notebooks (Final)'!AL21</f>
        <v>0</v>
      </c>
      <c r="J21" s="13">
        <f t="shared" si="0"/>
        <v>1376</v>
      </c>
    </row>
    <row r="22" spans="1:10" hidden="1" x14ac:dyDescent="0.25">
      <c r="A22" s="3">
        <v>20</v>
      </c>
      <c r="B22" s="10" t="s">
        <v>80</v>
      </c>
      <c r="C22" s="10" t="s">
        <v>55</v>
      </c>
      <c r="D22">
        <f>'Total Notebooks (Final)'!F22+'Total Notebooks (Final)'!K22+'Total Notebooks (Final)'!P22+'Total Notebooks (Final)'!U22</f>
        <v>0</v>
      </c>
      <c r="E22">
        <f>'Total Notebooks (Final)'!G22+'Total Notebooks (Final)'!L22+'Total Notebooks (Final)'!Q22+'Total Notebooks (Final)'!V22</f>
        <v>0</v>
      </c>
      <c r="F22">
        <f>'Total Notebooks (Final)'!H22+'Total Notebooks (Final)'!M22+'Total Notebooks (Final)'!R22+'Total Notebooks (Final)'!W22</f>
        <v>0</v>
      </c>
      <c r="G22">
        <f>'Total Notebooks (Final)'!I22+'Total Notebooks (Final)'!N22+'Total Notebooks (Final)'!S22+'Total Notebooks (Final)'!X22</f>
        <v>0</v>
      </c>
      <c r="H22">
        <f>'Total Notebooks (Final)'!Z22+'Total Notebooks (Final)'!AB22+'Total Notebooks (Final)'!AD22+'Total Notebooks (Final)'!AF22+'Total Notebooks (Final)'!AH22+'Total Notebooks (Final)'!AK22</f>
        <v>2448</v>
      </c>
      <c r="I22">
        <f>'Total Notebooks (Final)'!AI22+'Total Notebooks (Final)'!AL22</f>
        <v>840</v>
      </c>
      <c r="J22" s="13">
        <f t="shared" si="0"/>
        <v>3288</v>
      </c>
    </row>
    <row r="23" spans="1:10" hidden="1" x14ac:dyDescent="0.25">
      <c r="A23" s="15">
        <v>21</v>
      </c>
      <c r="B23" s="10" t="s">
        <v>80</v>
      </c>
      <c r="C23" s="10" t="s">
        <v>57</v>
      </c>
      <c r="D23">
        <f>'Total Notebooks (Final)'!F23+'Total Notebooks (Final)'!K23+'Total Notebooks (Final)'!P23+'Total Notebooks (Final)'!U23</f>
        <v>0</v>
      </c>
      <c r="E23">
        <f>'Total Notebooks (Final)'!G23+'Total Notebooks (Final)'!L23+'Total Notebooks (Final)'!Q23+'Total Notebooks (Final)'!V23</f>
        <v>0</v>
      </c>
      <c r="F23">
        <f>'Total Notebooks (Final)'!H23+'Total Notebooks (Final)'!M23+'Total Notebooks (Final)'!R23+'Total Notebooks (Final)'!W23</f>
        <v>0</v>
      </c>
      <c r="G23">
        <f>'Total Notebooks (Final)'!I23+'Total Notebooks (Final)'!N23+'Total Notebooks (Final)'!S23+'Total Notebooks (Final)'!X23</f>
        <v>0</v>
      </c>
      <c r="H23">
        <f>'Total Notebooks (Final)'!Z23+'Total Notebooks (Final)'!AB23+'Total Notebooks (Final)'!AD23+'Total Notebooks (Final)'!AF23+'Total Notebooks (Final)'!AH23+'Total Notebooks (Final)'!AK23</f>
        <v>1504</v>
      </c>
      <c r="I23">
        <f>'Total Notebooks (Final)'!AI23+'Total Notebooks (Final)'!AL23</f>
        <v>492</v>
      </c>
      <c r="J23" s="13">
        <f t="shared" si="0"/>
        <v>1996</v>
      </c>
    </row>
    <row r="24" spans="1:10" hidden="1" x14ac:dyDescent="0.25">
      <c r="A24" s="3">
        <v>22</v>
      </c>
      <c r="B24" s="10" t="s">
        <v>80</v>
      </c>
      <c r="C24" s="10" t="s">
        <v>58</v>
      </c>
      <c r="D24">
        <f>'Total Notebooks (Final)'!F24+'Total Notebooks (Final)'!K24+'Total Notebooks (Final)'!P24+'Total Notebooks (Final)'!U24</f>
        <v>62</v>
      </c>
      <c r="E24">
        <f>'Total Notebooks (Final)'!G24+'Total Notebooks (Final)'!L24+'Total Notebooks (Final)'!Q24+'Total Notebooks (Final)'!V24</f>
        <v>62</v>
      </c>
      <c r="F24">
        <f>'Total Notebooks (Final)'!H24+'Total Notebooks (Final)'!M24+'Total Notebooks (Final)'!R24+'Total Notebooks (Final)'!W24</f>
        <v>62</v>
      </c>
      <c r="G24">
        <f>'Total Notebooks (Final)'!I24+'Total Notebooks (Final)'!N24+'Total Notebooks (Final)'!S24+'Total Notebooks (Final)'!X24</f>
        <v>62</v>
      </c>
      <c r="H24">
        <f>'Total Notebooks (Final)'!Z24+'Total Notebooks (Final)'!AB24+'Total Notebooks (Final)'!AD24+'Total Notebooks (Final)'!AF24+'Total Notebooks (Final)'!AH24+'Total Notebooks (Final)'!AK24</f>
        <v>568</v>
      </c>
      <c r="I24">
        <f>'Total Notebooks (Final)'!AI24+'Total Notebooks (Final)'!AL24</f>
        <v>0</v>
      </c>
      <c r="J24" s="13">
        <f t="shared" si="0"/>
        <v>816</v>
      </c>
    </row>
    <row r="25" spans="1:10" hidden="1" x14ac:dyDescent="0.25">
      <c r="A25" s="15">
        <v>23</v>
      </c>
      <c r="B25" s="10" t="s">
        <v>80</v>
      </c>
      <c r="C25" s="10" t="s">
        <v>59</v>
      </c>
      <c r="D25">
        <f>'Total Notebooks (Final)'!F25+'Total Notebooks (Final)'!K25+'Total Notebooks (Final)'!P25+'Total Notebooks (Final)'!U25</f>
        <v>78</v>
      </c>
      <c r="E25">
        <f>'Total Notebooks (Final)'!G25+'Total Notebooks (Final)'!L25+'Total Notebooks (Final)'!Q25+'Total Notebooks (Final)'!V25</f>
        <v>78</v>
      </c>
      <c r="F25">
        <f>'Total Notebooks (Final)'!H25+'Total Notebooks (Final)'!M25+'Total Notebooks (Final)'!R25+'Total Notebooks (Final)'!W25</f>
        <v>78</v>
      </c>
      <c r="G25">
        <f>'Total Notebooks (Final)'!I25+'Total Notebooks (Final)'!N25+'Total Notebooks (Final)'!S25+'Total Notebooks (Final)'!X25</f>
        <v>78</v>
      </c>
      <c r="H25">
        <f>'Total Notebooks (Final)'!Z25+'Total Notebooks (Final)'!AB25+'Total Notebooks (Final)'!AD25+'Total Notebooks (Final)'!AF25+'Total Notebooks (Final)'!AH25+'Total Notebooks (Final)'!AK25</f>
        <v>488</v>
      </c>
      <c r="I25">
        <f>'Total Notebooks (Final)'!AI25+'Total Notebooks (Final)'!AL25</f>
        <v>0</v>
      </c>
      <c r="J25" s="13">
        <f t="shared" si="0"/>
        <v>800</v>
      </c>
    </row>
    <row r="26" spans="1:10" hidden="1" x14ac:dyDescent="0.25">
      <c r="A26" s="3">
        <v>24</v>
      </c>
      <c r="B26" s="10" t="s">
        <v>80</v>
      </c>
      <c r="C26" s="10" t="s">
        <v>60</v>
      </c>
      <c r="D26">
        <f>'Total Notebooks (Final)'!F26+'Total Notebooks (Final)'!K26+'Total Notebooks (Final)'!P26+'Total Notebooks (Final)'!U26</f>
        <v>37</v>
      </c>
      <c r="E26">
        <f>'Total Notebooks (Final)'!G26+'Total Notebooks (Final)'!L26+'Total Notebooks (Final)'!Q26+'Total Notebooks (Final)'!V26</f>
        <v>37</v>
      </c>
      <c r="F26">
        <f>'Total Notebooks (Final)'!H26+'Total Notebooks (Final)'!M26+'Total Notebooks (Final)'!R26+'Total Notebooks (Final)'!W26</f>
        <v>37</v>
      </c>
      <c r="G26">
        <f>'Total Notebooks (Final)'!I26+'Total Notebooks (Final)'!N26+'Total Notebooks (Final)'!S26+'Total Notebooks (Final)'!X26</f>
        <v>37</v>
      </c>
      <c r="H26">
        <f>'Total Notebooks (Final)'!Z26+'Total Notebooks (Final)'!AB26+'Total Notebooks (Final)'!AD26+'Total Notebooks (Final)'!AF26+'Total Notebooks (Final)'!AH26+'Total Notebooks (Final)'!AK26</f>
        <v>472</v>
      </c>
      <c r="I26">
        <f>'Total Notebooks (Final)'!AI26+'Total Notebooks (Final)'!AL26</f>
        <v>0</v>
      </c>
      <c r="J26" s="13">
        <f t="shared" si="0"/>
        <v>620</v>
      </c>
    </row>
    <row r="27" spans="1:10" hidden="1" x14ac:dyDescent="0.25">
      <c r="A27" s="15">
        <v>25</v>
      </c>
      <c r="B27" s="10" t="s">
        <v>80</v>
      </c>
      <c r="C27" s="10" t="s">
        <v>150</v>
      </c>
      <c r="D27">
        <f>'Total Notebooks (Final)'!F27+'Total Notebooks (Final)'!K27+'Total Notebooks (Final)'!P27+'Total Notebooks (Final)'!U27</f>
        <v>70</v>
      </c>
      <c r="E27">
        <f>'Total Notebooks (Final)'!G27+'Total Notebooks (Final)'!L27+'Total Notebooks (Final)'!Q27+'Total Notebooks (Final)'!V27</f>
        <v>70</v>
      </c>
      <c r="F27">
        <f>'Total Notebooks (Final)'!H27+'Total Notebooks (Final)'!M27+'Total Notebooks (Final)'!R27+'Total Notebooks (Final)'!W27</f>
        <v>70</v>
      </c>
      <c r="G27">
        <f>'Total Notebooks (Final)'!I27+'Total Notebooks (Final)'!N27+'Total Notebooks (Final)'!S27+'Total Notebooks (Final)'!X27</f>
        <v>70</v>
      </c>
      <c r="H27">
        <f>'Total Notebooks (Final)'!Z27+'Total Notebooks (Final)'!AB27+'Total Notebooks (Final)'!AD27+'Total Notebooks (Final)'!AF27+'Total Notebooks (Final)'!AH27+'Total Notebooks (Final)'!AK27</f>
        <v>672</v>
      </c>
      <c r="I27">
        <f>'Total Notebooks (Final)'!AI27+'Total Notebooks (Final)'!AL27</f>
        <v>0</v>
      </c>
      <c r="J27" s="13">
        <f t="shared" si="0"/>
        <v>952</v>
      </c>
    </row>
    <row r="28" spans="1:10" hidden="1" x14ac:dyDescent="0.25">
      <c r="A28" s="3">
        <v>26</v>
      </c>
      <c r="B28" s="10" t="s">
        <v>80</v>
      </c>
      <c r="C28" s="10" t="s">
        <v>61</v>
      </c>
      <c r="D28">
        <f>'Total Notebooks (Final)'!F28+'Total Notebooks (Final)'!K28+'Total Notebooks (Final)'!P28+'Total Notebooks (Final)'!U28</f>
        <v>45</v>
      </c>
      <c r="E28">
        <f>'Total Notebooks (Final)'!G28+'Total Notebooks (Final)'!L28+'Total Notebooks (Final)'!Q28+'Total Notebooks (Final)'!V28</f>
        <v>45</v>
      </c>
      <c r="F28">
        <f>'Total Notebooks (Final)'!H28+'Total Notebooks (Final)'!M28+'Total Notebooks (Final)'!R28+'Total Notebooks (Final)'!W28</f>
        <v>45</v>
      </c>
      <c r="G28">
        <f>'Total Notebooks (Final)'!I28+'Total Notebooks (Final)'!N28+'Total Notebooks (Final)'!S28+'Total Notebooks (Final)'!X28</f>
        <v>45</v>
      </c>
      <c r="H28">
        <f>'Total Notebooks (Final)'!Z28+'Total Notebooks (Final)'!AB28+'Total Notebooks (Final)'!AD28+'Total Notebooks (Final)'!AF28+'Total Notebooks (Final)'!AH28+'Total Notebooks (Final)'!AK28</f>
        <v>352</v>
      </c>
      <c r="I28">
        <f>'Total Notebooks (Final)'!AI28+'Total Notebooks (Final)'!AL28</f>
        <v>0</v>
      </c>
      <c r="J28" s="13">
        <f t="shared" si="0"/>
        <v>532</v>
      </c>
    </row>
    <row r="29" spans="1:10" hidden="1" x14ac:dyDescent="0.25">
      <c r="A29" s="15">
        <v>27</v>
      </c>
      <c r="B29" s="10" t="s">
        <v>80</v>
      </c>
      <c r="C29" s="10" t="s">
        <v>62</v>
      </c>
      <c r="D29">
        <f>'Total Notebooks (Final)'!F29+'Total Notebooks (Final)'!K29+'Total Notebooks (Final)'!P29+'Total Notebooks (Final)'!U29</f>
        <v>88</v>
      </c>
      <c r="E29">
        <f>'Total Notebooks (Final)'!G29+'Total Notebooks (Final)'!L29+'Total Notebooks (Final)'!Q29+'Total Notebooks (Final)'!V29</f>
        <v>88</v>
      </c>
      <c r="F29">
        <f>'Total Notebooks (Final)'!H29+'Total Notebooks (Final)'!M29+'Total Notebooks (Final)'!R29+'Total Notebooks (Final)'!W29</f>
        <v>88</v>
      </c>
      <c r="G29">
        <f>'Total Notebooks (Final)'!I29+'Total Notebooks (Final)'!N29+'Total Notebooks (Final)'!S29+'Total Notebooks (Final)'!X29</f>
        <v>88</v>
      </c>
      <c r="H29">
        <f>'Total Notebooks (Final)'!Z29+'Total Notebooks (Final)'!AB29+'Total Notebooks (Final)'!AD29+'Total Notebooks (Final)'!AF29+'Total Notebooks (Final)'!AH29+'Total Notebooks (Final)'!AK29</f>
        <v>592</v>
      </c>
      <c r="I29">
        <f>'Total Notebooks (Final)'!AI29+'Total Notebooks (Final)'!AL29</f>
        <v>0</v>
      </c>
      <c r="J29" s="13">
        <f t="shared" si="0"/>
        <v>944</v>
      </c>
    </row>
    <row r="30" spans="1:10" hidden="1" x14ac:dyDescent="0.25">
      <c r="A30" s="15">
        <v>28</v>
      </c>
      <c r="B30" s="10" t="s">
        <v>80</v>
      </c>
      <c r="C30" s="10" t="s">
        <v>54</v>
      </c>
      <c r="D30">
        <f>'Total Notebooks (Final)'!F30+'Total Notebooks (Final)'!K30+'Total Notebooks (Final)'!P30+'Total Notebooks (Final)'!U30</f>
        <v>43</v>
      </c>
      <c r="E30">
        <f>'Total Notebooks (Final)'!G30+'Total Notebooks (Final)'!L30+'Total Notebooks (Final)'!Q30+'Total Notebooks (Final)'!V30</f>
        <v>43</v>
      </c>
      <c r="F30">
        <f>'Total Notebooks (Final)'!H30+'Total Notebooks (Final)'!M30+'Total Notebooks (Final)'!R30+'Total Notebooks (Final)'!W30</f>
        <v>43</v>
      </c>
      <c r="G30">
        <f>'Total Notebooks (Final)'!I30+'Total Notebooks (Final)'!N30+'Total Notebooks (Final)'!S30+'Total Notebooks (Final)'!X30</f>
        <v>43</v>
      </c>
      <c r="H30">
        <f>'Total Notebooks (Final)'!Z30+'Total Notebooks (Final)'!AB30+'Total Notebooks (Final)'!AD30+'Total Notebooks (Final)'!AF30+'Total Notebooks (Final)'!AH30+'Total Notebooks (Final)'!AK30</f>
        <v>408</v>
      </c>
      <c r="I30">
        <f>'Total Notebooks (Final)'!AI30+'Total Notebooks (Final)'!AL30</f>
        <v>0</v>
      </c>
      <c r="J30" s="13">
        <f t="shared" si="0"/>
        <v>580</v>
      </c>
    </row>
    <row r="31" spans="1:10" hidden="1" x14ac:dyDescent="0.25">
      <c r="A31" s="52">
        <v>29</v>
      </c>
      <c r="B31" s="10" t="s">
        <v>80</v>
      </c>
      <c r="C31" s="10" t="s">
        <v>63</v>
      </c>
      <c r="D31">
        <f>'Total Notebooks (Final)'!F31+'Total Notebooks (Final)'!K31+'Total Notebooks (Final)'!P31+'Total Notebooks (Final)'!U31</f>
        <v>85</v>
      </c>
      <c r="E31">
        <f>'Total Notebooks (Final)'!G31+'Total Notebooks (Final)'!L31+'Total Notebooks (Final)'!Q31+'Total Notebooks (Final)'!V31</f>
        <v>85</v>
      </c>
      <c r="F31">
        <f>'Total Notebooks (Final)'!H31+'Total Notebooks (Final)'!M31+'Total Notebooks (Final)'!R31+'Total Notebooks (Final)'!W31</f>
        <v>85</v>
      </c>
      <c r="G31">
        <f>'Total Notebooks (Final)'!I31+'Total Notebooks (Final)'!N31+'Total Notebooks (Final)'!S31+'Total Notebooks (Final)'!X31</f>
        <v>85</v>
      </c>
      <c r="H31">
        <f>'Total Notebooks (Final)'!Z31+'Total Notebooks (Final)'!AB31+'Total Notebooks (Final)'!AD31+'Total Notebooks (Final)'!AF31+'Total Notebooks (Final)'!AH31+'Total Notebooks (Final)'!AK31</f>
        <v>536</v>
      </c>
      <c r="I31">
        <f>'Total Notebooks (Final)'!AI31+'Total Notebooks (Final)'!AL31</f>
        <v>0</v>
      </c>
      <c r="J31" s="13">
        <f t="shared" si="0"/>
        <v>876</v>
      </c>
    </row>
    <row r="32" spans="1:10" x14ac:dyDescent="0.25">
      <c r="A32" s="1"/>
      <c r="B32" s="10" t="s">
        <v>71</v>
      </c>
      <c r="C32" s="10" t="s">
        <v>74</v>
      </c>
      <c r="D32">
        <f>'Total Notebooks (Final)'!F32+'Total Notebooks (Final)'!K32+'Total Notebooks (Final)'!P32+'Total Notebooks (Final)'!U32</f>
        <v>206</v>
      </c>
      <c r="E32">
        <f>'Total Notebooks (Final)'!G32+'Total Notebooks (Final)'!L32+'Total Notebooks (Final)'!Q32+'Total Notebooks (Final)'!V32</f>
        <v>206</v>
      </c>
      <c r="F32">
        <f>'Total Notebooks (Final)'!H32+'Total Notebooks (Final)'!M32+'Total Notebooks (Final)'!R32+'Total Notebooks (Final)'!W32</f>
        <v>206</v>
      </c>
      <c r="G32">
        <f>'Total Notebooks (Final)'!I32+'Total Notebooks (Final)'!N32+'Total Notebooks (Final)'!S32+'Total Notebooks (Final)'!X32</f>
        <v>206</v>
      </c>
      <c r="H32">
        <f>'Total Notebooks (Final)'!Z32+'Total Notebooks (Final)'!AB32+'Total Notebooks (Final)'!AD32+'Total Notebooks (Final)'!AF32+'Total Notebooks (Final)'!AH32+'Total Notebooks (Final)'!AK32</f>
        <v>1120</v>
      </c>
      <c r="I32">
        <f>'Total Notebooks (Final)'!AI32+'Total Notebooks (Final)'!AL32</f>
        <v>0</v>
      </c>
      <c r="J32" s="13">
        <f t="shared" si="0"/>
        <v>1944</v>
      </c>
    </row>
    <row r="33" spans="1:10" x14ac:dyDescent="0.25">
      <c r="A33" s="1">
        <v>31</v>
      </c>
      <c r="B33" s="10" t="s">
        <v>71</v>
      </c>
      <c r="C33" s="10" t="s">
        <v>75</v>
      </c>
      <c r="D33">
        <f>'Total Notebooks (Final)'!F33+'Total Notebooks (Final)'!K33+'Total Notebooks (Final)'!P33+'Total Notebooks (Final)'!U33</f>
        <v>0</v>
      </c>
      <c r="E33">
        <f>'Total Notebooks (Final)'!G33+'Total Notebooks (Final)'!L33+'Total Notebooks (Final)'!Q33+'Total Notebooks (Final)'!V33</f>
        <v>0</v>
      </c>
      <c r="F33">
        <f>'Total Notebooks (Final)'!H33+'Total Notebooks (Final)'!M33+'Total Notebooks (Final)'!R33+'Total Notebooks (Final)'!W33</f>
        <v>0</v>
      </c>
      <c r="G33">
        <f>'Total Notebooks (Final)'!I33+'Total Notebooks (Final)'!N33+'Total Notebooks (Final)'!S33+'Total Notebooks (Final)'!X33</f>
        <v>0</v>
      </c>
      <c r="H33">
        <f>'Total Notebooks (Final)'!Z33+'Total Notebooks (Final)'!AB33+'Total Notebooks (Final)'!AD33+'Total Notebooks (Final)'!AF33+'Total Notebooks (Final)'!AH33+'Total Notebooks (Final)'!AK33</f>
        <v>1752</v>
      </c>
      <c r="I33">
        <f>'Total Notebooks (Final)'!AI33+'Total Notebooks (Final)'!AL33</f>
        <v>688</v>
      </c>
      <c r="J33" s="13">
        <f t="shared" si="0"/>
        <v>2440</v>
      </c>
    </row>
    <row r="34" spans="1:10" x14ac:dyDescent="0.25">
      <c r="A34" s="15">
        <v>32</v>
      </c>
      <c r="B34" s="10" t="s">
        <v>71</v>
      </c>
      <c r="C34" s="10" t="s">
        <v>66</v>
      </c>
      <c r="D34">
        <f>'Total Notebooks (Final)'!F34+'Total Notebooks (Final)'!K34+'Total Notebooks (Final)'!P34+'Total Notebooks (Final)'!U34</f>
        <v>67</v>
      </c>
      <c r="E34">
        <f>'Total Notebooks (Final)'!G34+'Total Notebooks (Final)'!L34+'Total Notebooks (Final)'!Q34+'Total Notebooks (Final)'!V34</f>
        <v>67</v>
      </c>
      <c r="F34">
        <f>'Total Notebooks (Final)'!H34+'Total Notebooks (Final)'!M34+'Total Notebooks (Final)'!R34+'Total Notebooks (Final)'!W34</f>
        <v>67</v>
      </c>
      <c r="G34">
        <f>'Total Notebooks (Final)'!I34+'Total Notebooks (Final)'!N34+'Total Notebooks (Final)'!S34+'Total Notebooks (Final)'!X34</f>
        <v>67</v>
      </c>
      <c r="H34">
        <f>'Total Notebooks (Final)'!Z34+'Total Notebooks (Final)'!AB34+'Total Notebooks (Final)'!AD34+'Total Notebooks (Final)'!AF34+'Total Notebooks (Final)'!AH34+'Total Notebooks (Final)'!AK34</f>
        <v>840</v>
      </c>
      <c r="I34">
        <f>'Total Notebooks (Final)'!AI34+'Total Notebooks (Final)'!AL34</f>
        <v>0</v>
      </c>
      <c r="J34" s="13">
        <f t="shared" si="0"/>
        <v>1108</v>
      </c>
    </row>
    <row r="35" spans="1:10" x14ac:dyDescent="0.25">
      <c r="A35" s="3">
        <v>33</v>
      </c>
      <c r="B35" s="10" t="s">
        <v>71</v>
      </c>
      <c r="C35" s="10" t="s">
        <v>135</v>
      </c>
      <c r="D35">
        <f>'Total Notebooks (Final)'!F35+'Total Notebooks (Final)'!K35+'Total Notebooks (Final)'!P35+'Total Notebooks (Final)'!U35</f>
        <v>0</v>
      </c>
      <c r="E35">
        <f>'Total Notebooks (Final)'!G35+'Total Notebooks (Final)'!L35+'Total Notebooks (Final)'!Q35+'Total Notebooks (Final)'!V35</f>
        <v>0</v>
      </c>
      <c r="F35">
        <f>'Total Notebooks (Final)'!H35+'Total Notebooks (Final)'!M35+'Total Notebooks (Final)'!R35+'Total Notebooks (Final)'!W35</f>
        <v>0</v>
      </c>
      <c r="G35">
        <f>'Total Notebooks (Final)'!I35+'Total Notebooks (Final)'!N35+'Total Notebooks (Final)'!S35+'Total Notebooks (Final)'!X35</f>
        <v>0</v>
      </c>
      <c r="H35">
        <f>'Total Notebooks (Final)'!Z35+'Total Notebooks (Final)'!AB35+'Total Notebooks (Final)'!AD35+'Total Notebooks (Final)'!AF35+'Total Notebooks (Final)'!AH35+'Total Notebooks (Final)'!AK35</f>
        <v>1424</v>
      </c>
      <c r="I35">
        <f>'Total Notebooks (Final)'!AI35+'Total Notebooks (Final)'!AL35</f>
        <v>532</v>
      </c>
      <c r="J35" s="13">
        <f t="shared" si="0"/>
        <v>1956</v>
      </c>
    </row>
    <row r="36" spans="1:10" x14ac:dyDescent="0.25">
      <c r="A36" s="15">
        <v>40</v>
      </c>
      <c r="B36" s="10" t="s">
        <v>71</v>
      </c>
      <c r="C36" s="10" t="s">
        <v>69</v>
      </c>
      <c r="D36">
        <f>'Total Notebooks (Final)'!F36+'Total Notebooks (Final)'!K36+'Total Notebooks (Final)'!P36+'Total Notebooks (Final)'!U36</f>
        <v>140</v>
      </c>
      <c r="E36">
        <f>'Total Notebooks (Final)'!G36+'Total Notebooks (Final)'!L36+'Total Notebooks (Final)'!Q36+'Total Notebooks (Final)'!V36</f>
        <v>140</v>
      </c>
      <c r="F36">
        <f>'Total Notebooks (Final)'!H36+'Total Notebooks (Final)'!M36+'Total Notebooks (Final)'!R36+'Total Notebooks (Final)'!W36</f>
        <v>140</v>
      </c>
      <c r="G36">
        <f>'Total Notebooks (Final)'!I36+'Total Notebooks (Final)'!N36+'Total Notebooks (Final)'!S36+'Total Notebooks (Final)'!X36</f>
        <v>140</v>
      </c>
      <c r="H36">
        <f>'Total Notebooks (Final)'!Z36+'Total Notebooks (Final)'!AB36+'Total Notebooks (Final)'!AD36+'Total Notebooks (Final)'!AF36+'Total Notebooks (Final)'!AH36+'Total Notebooks (Final)'!AK36</f>
        <v>896</v>
      </c>
      <c r="I36">
        <f>'Total Notebooks (Final)'!AI36+'Total Notebooks (Final)'!AL36</f>
        <v>0</v>
      </c>
      <c r="J36" s="13">
        <f t="shared" si="0"/>
        <v>1456</v>
      </c>
    </row>
    <row r="37" spans="1:10" hidden="1" x14ac:dyDescent="0.25">
      <c r="A37" s="3">
        <v>41</v>
      </c>
      <c r="B37" s="10" t="s">
        <v>80</v>
      </c>
      <c r="C37" s="10" t="s">
        <v>78</v>
      </c>
      <c r="D37">
        <f>'Total Notebooks (Final)'!F37+'Total Notebooks (Final)'!K37+'Total Notebooks (Final)'!P37+'Total Notebooks (Final)'!U37</f>
        <v>45</v>
      </c>
      <c r="E37">
        <f>'Total Notebooks (Final)'!G37+'Total Notebooks (Final)'!L37+'Total Notebooks (Final)'!Q37+'Total Notebooks (Final)'!V37</f>
        <v>45</v>
      </c>
      <c r="F37">
        <f>'Total Notebooks (Final)'!H37+'Total Notebooks (Final)'!M37+'Total Notebooks (Final)'!R37+'Total Notebooks (Final)'!W37</f>
        <v>45</v>
      </c>
      <c r="G37">
        <f>'Total Notebooks (Final)'!I37+'Total Notebooks (Final)'!N37+'Total Notebooks (Final)'!S37+'Total Notebooks (Final)'!X37</f>
        <v>45</v>
      </c>
      <c r="H37">
        <f>'Total Notebooks (Final)'!Z37+'Total Notebooks (Final)'!AB37+'Total Notebooks (Final)'!AD37+'Total Notebooks (Final)'!AF37+'Total Notebooks (Final)'!AH37+'Total Notebooks (Final)'!AK37</f>
        <v>536</v>
      </c>
      <c r="I37">
        <f>'Total Notebooks (Final)'!AI37+'Total Notebooks (Final)'!AL37</f>
        <v>0</v>
      </c>
      <c r="J37" s="13">
        <f t="shared" si="0"/>
        <v>716</v>
      </c>
    </row>
    <row r="38" spans="1:10" hidden="1" x14ac:dyDescent="0.25">
      <c r="A38" s="15">
        <v>34</v>
      </c>
      <c r="B38" s="10" t="s">
        <v>80</v>
      </c>
      <c r="C38" s="10" t="s">
        <v>79</v>
      </c>
      <c r="D38">
        <f>'Total Notebooks (Final)'!F38+'Total Notebooks (Final)'!K38+'Total Notebooks (Final)'!P38+'Total Notebooks (Final)'!U38</f>
        <v>70</v>
      </c>
      <c r="E38">
        <f>'Total Notebooks (Final)'!G38+'Total Notebooks (Final)'!L38+'Total Notebooks (Final)'!Q38+'Total Notebooks (Final)'!V38</f>
        <v>70</v>
      </c>
      <c r="F38">
        <f>'Total Notebooks (Final)'!H38+'Total Notebooks (Final)'!M38+'Total Notebooks (Final)'!R38+'Total Notebooks (Final)'!W38</f>
        <v>70</v>
      </c>
      <c r="G38">
        <f>'Total Notebooks (Final)'!I38+'Total Notebooks (Final)'!N38+'Total Notebooks (Final)'!S38+'Total Notebooks (Final)'!X38</f>
        <v>70</v>
      </c>
      <c r="H38">
        <f>'Total Notebooks (Final)'!Z38+'Total Notebooks (Final)'!AB38+'Total Notebooks (Final)'!AD38+'Total Notebooks (Final)'!AF38+'Total Notebooks (Final)'!AH38+'Total Notebooks (Final)'!AK38</f>
        <v>456</v>
      </c>
      <c r="I38">
        <f>'Total Notebooks (Final)'!AI38+'Total Notebooks (Final)'!AL38</f>
        <v>0</v>
      </c>
      <c r="J38" s="13">
        <f t="shared" si="0"/>
        <v>736</v>
      </c>
    </row>
    <row r="39" spans="1:10" hidden="1" x14ac:dyDescent="0.25">
      <c r="A39" s="3">
        <v>35</v>
      </c>
      <c r="B39" s="10" t="s">
        <v>80</v>
      </c>
      <c r="C39" s="10" t="s">
        <v>86</v>
      </c>
      <c r="D39">
        <f>'Total Notebooks (Final)'!F39+'Total Notebooks (Final)'!K39+'Total Notebooks (Final)'!P39+'Total Notebooks (Final)'!U39</f>
        <v>65</v>
      </c>
      <c r="E39">
        <f>'Total Notebooks (Final)'!G39+'Total Notebooks (Final)'!L39+'Total Notebooks (Final)'!Q39+'Total Notebooks (Final)'!V39</f>
        <v>65</v>
      </c>
      <c r="F39">
        <f>'Total Notebooks (Final)'!H39+'Total Notebooks (Final)'!M39+'Total Notebooks (Final)'!R39+'Total Notebooks (Final)'!W39</f>
        <v>65</v>
      </c>
      <c r="G39">
        <f>'Total Notebooks (Final)'!I39+'Total Notebooks (Final)'!N39+'Total Notebooks (Final)'!S39+'Total Notebooks (Final)'!X39</f>
        <v>65</v>
      </c>
      <c r="H39">
        <f>'Total Notebooks (Final)'!Z39+'Total Notebooks (Final)'!AB39+'Total Notebooks (Final)'!AD39+'Total Notebooks (Final)'!AF39+'Total Notebooks (Final)'!AH39+'Total Notebooks (Final)'!AK39</f>
        <v>488</v>
      </c>
      <c r="I39">
        <f>'Total Notebooks (Final)'!AI39+'Total Notebooks (Final)'!AL39</f>
        <v>0</v>
      </c>
      <c r="J39" s="13">
        <f t="shared" si="0"/>
        <v>748</v>
      </c>
    </row>
    <row r="40" spans="1:10" hidden="1" x14ac:dyDescent="0.25">
      <c r="A40" s="15">
        <v>36</v>
      </c>
      <c r="B40" s="10" t="s">
        <v>80</v>
      </c>
      <c r="C40" s="10" t="s">
        <v>87</v>
      </c>
      <c r="D40">
        <f>'Total Notebooks (Final)'!F40+'Total Notebooks (Final)'!K40+'Total Notebooks (Final)'!P40+'Total Notebooks (Final)'!U40</f>
        <v>32</v>
      </c>
      <c r="E40">
        <f>'Total Notebooks (Final)'!G40+'Total Notebooks (Final)'!L40+'Total Notebooks (Final)'!Q40+'Total Notebooks (Final)'!V40</f>
        <v>32</v>
      </c>
      <c r="F40">
        <f>'Total Notebooks (Final)'!H40+'Total Notebooks (Final)'!M40+'Total Notebooks (Final)'!R40+'Total Notebooks (Final)'!W40</f>
        <v>32</v>
      </c>
      <c r="G40">
        <f>'Total Notebooks (Final)'!I40+'Total Notebooks (Final)'!N40+'Total Notebooks (Final)'!S40+'Total Notebooks (Final)'!X40</f>
        <v>32</v>
      </c>
      <c r="H40">
        <f>'Total Notebooks (Final)'!Z40+'Total Notebooks (Final)'!AB40+'Total Notebooks (Final)'!AD40+'Total Notebooks (Final)'!AF40+'Total Notebooks (Final)'!AH40+'Total Notebooks (Final)'!AK40</f>
        <v>272</v>
      </c>
      <c r="I40">
        <f>'Total Notebooks (Final)'!AI40+'Total Notebooks (Final)'!AL40</f>
        <v>0</v>
      </c>
      <c r="J40" s="13">
        <f t="shared" si="0"/>
        <v>400</v>
      </c>
    </row>
    <row r="41" spans="1:10" hidden="1" x14ac:dyDescent="0.25">
      <c r="A41" s="3">
        <v>37</v>
      </c>
      <c r="B41" s="10" t="s">
        <v>80</v>
      </c>
      <c r="C41" s="10" t="s">
        <v>88</v>
      </c>
      <c r="D41">
        <f>'Total Notebooks (Final)'!F41+'Total Notebooks (Final)'!K41+'Total Notebooks (Final)'!P41+'Total Notebooks (Final)'!U41</f>
        <v>119</v>
      </c>
      <c r="E41">
        <f>'Total Notebooks (Final)'!G41+'Total Notebooks (Final)'!L41+'Total Notebooks (Final)'!Q41+'Total Notebooks (Final)'!V41</f>
        <v>119</v>
      </c>
      <c r="F41">
        <f>'Total Notebooks (Final)'!H41+'Total Notebooks (Final)'!M41+'Total Notebooks (Final)'!R41+'Total Notebooks (Final)'!W41</f>
        <v>119</v>
      </c>
      <c r="G41">
        <f>'Total Notebooks (Final)'!I41+'Total Notebooks (Final)'!N41+'Total Notebooks (Final)'!S41+'Total Notebooks (Final)'!X41</f>
        <v>119</v>
      </c>
      <c r="H41">
        <f>'Total Notebooks (Final)'!Z41+'Total Notebooks (Final)'!AB41+'Total Notebooks (Final)'!AD41+'Total Notebooks (Final)'!AF41+'Total Notebooks (Final)'!AH41+'Total Notebooks (Final)'!AK41</f>
        <v>664</v>
      </c>
      <c r="I41">
        <f>'Total Notebooks (Final)'!AI41+'Total Notebooks (Final)'!AL41</f>
        <v>0</v>
      </c>
      <c r="J41" s="13">
        <f t="shared" si="0"/>
        <v>1140</v>
      </c>
    </row>
    <row r="42" spans="1:10" x14ac:dyDescent="0.25">
      <c r="A42" s="15">
        <v>38</v>
      </c>
      <c r="B42" s="10" t="s">
        <v>71</v>
      </c>
      <c r="C42" s="10" t="s">
        <v>100</v>
      </c>
      <c r="D42">
        <f>'Total Notebooks (Final)'!F42+'Total Notebooks (Final)'!K42+'Total Notebooks (Final)'!P42+'Total Notebooks (Final)'!U42</f>
        <v>0</v>
      </c>
      <c r="E42">
        <f>'Total Notebooks (Final)'!G42+'Total Notebooks (Final)'!L42+'Total Notebooks (Final)'!Q42+'Total Notebooks (Final)'!V42</f>
        <v>0</v>
      </c>
      <c r="F42">
        <f>'Total Notebooks (Final)'!H42+'Total Notebooks (Final)'!M42+'Total Notebooks (Final)'!R42+'Total Notebooks (Final)'!W42</f>
        <v>0</v>
      </c>
      <c r="G42">
        <f>'Total Notebooks (Final)'!I42+'Total Notebooks (Final)'!N42+'Total Notebooks (Final)'!S42+'Total Notebooks (Final)'!X42</f>
        <v>0</v>
      </c>
      <c r="H42">
        <f>'Total Notebooks (Final)'!Z42+'Total Notebooks (Final)'!AB42+'Total Notebooks (Final)'!AD42+'Total Notebooks (Final)'!AF42+'Total Notebooks (Final)'!AH42+'Total Notebooks (Final)'!AK42</f>
        <v>1024</v>
      </c>
      <c r="I42">
        <f>'Total Notebooks (Final)'!AI42+'Total Notebooks (Final)'!AL42</f>
        <v>360</v>
      </c>
      <c r="J42" s="13">
        <f t="shared" si="0"/>
        <v>1384</v>
      </c>
    </row>
    <row r="43" spans="1:10" x14ac:dyDescent="0.25">
      <c r="A43" s="3">
        <v>39</v>
      </c>
      <c r="B43" s="10" t="s">
        <v>71</v>
      </c>
      <c r="C43" s="10" t="s">
        <v>130</v>
      </c>
      <c r="D43">
        <f>'Total Notebooks (Final)'!F43+'Total Notebooks (Final)'!K43+'Total Notebooks (Final)'!P43+'Total Notebooks (Final)'!U43</f>
        <v>0</v>
      </c>
      <c r="E43">
        <f>'Total Notebooks (Final)'!G43+'Total Notebooks (Final)'!L43+'Total Notebooks (Final)'!Q43+'Total Notebooks (Final)'!V43</f>
        <v>0</v>
      </c>
      <c r="F43">
        <f>'Total Notebooks (Final)'!H43+'Total Notebooks (Final)'!M43+'Total Notebooks (Final)'!R43+'Total Notebooks (Final)'!W43</f>
        <v>0</v>
      </c>
      <c r="G43">
        <f>'Total Notebooks (Final)'!I43+'Total Notebooks (Final)'!N43+'Total Notebooks (Final)'!S43+'Total Notebooks (Final)'!X43</f>
        <v>0</v>
      </c>
      <c r="H43">
        <f>'Total Notebooks (Final)'!Z43+'Total Notebooks (Final)'!AB43+'Total Notebooks (Final)'!AD43+'Total Notebooks (Final)'!AF43+'Total Notebooks (Final)'!AH43+'Total Notebooks (Final)'!AK43</f>
        <v>1232</v>
      </c>
      <c r="I43">
        <f>'Total Notebooks (Final)'!AI43+'Total Notebooks (Final)'!AL43</f>
        <v>416</v>
      </c>
      <c r="J43" s="13">
        <f t="shared" si="0"/>
        <v>1648</v>
      </c>
    </row>
    <row r="44" spans="1:10" hidden="1" x14ac:dyDescent="0.25">
      <c r="A44" s="15">
        <v>42</v>
      </c>
      <c r="B44" s="10" t="s">
        <v>80</v>
      </c>
      <c r="C44" s="66" t="s">
        <v>134</v>
      </c>
      <c r="D44">
        <f>'Total Notebooks (Final)'!F44+'Total Notebooks (Final)'!K44+'Total Notebooks (Final)'!P44+'Total Notebooks (Final)'!U44</f>
        <v>63</v>
      </c>
      <c r="E44">
        <f>'Total Notebooks (Final)'!G44+'Total Notebooks (Final)'!L44+'Total Notebooks (Final)'!Q44+'Total Notebooks (Final)'!V44</f>
        <v>63</v>
      </c>
      <c r="F44">
        <f>'Total Notebooks (Final)'!H44+'Total Notebooks (Final)'!M44+'Total Notebooks (Final)'!R44+'Total Notebooks (Final)'!W44</f>
        <v>63</v>
      </c>
      <c r="G44">
        <f>'Total Notebooks (Final)'!I44+'Total Notebooks (Final)'!N44+'Total Notebooks (Final)'!S44+'Total Notebooks (Final)'!X44</f>
        <v>63</v>
      </c>
      <c r="H44">
        <f>'Total Notebooks (Final)'!Z44+'Total Notebooks (Final)'!AB44+'Total Notebooks (Final)'!AD44+'Total Notebooks (Final)'!AF44+'Total Notebooks (Final)'!AH44+'Total Notebooks (Final)'!AK44</f>
        <v>744</v>
      </c>
      <c r="I44">
        <f>'Total Notebooks (Final)'!AI44+'Total Notebooks (Final)'!AL44</f>
        <v>0</v>
      </c>
      <c r="J44" s="13">
        <f t="shared" si="0"/>
        <v>996</v>
      </c>
    </row>
    <row r="45" spans="1:10" hidden="1" x14ac:dyDescent="0.25">
      <c r="A45" s="3">
        <v>43</v>
      </c>
      <c r="B45" s="10" t="s">
        <v>80</v>
      </c>
      <c r="C45" s="10" t="s">
        <v>104</v>
      </c>
      <c r="D45">
        <f>'Total Notebooks (Final)'!F45+'Total Notebooks (Final)'!K45+'Total Notebooks (Final)'!P45+'Total Notebooks (Final)'!U45</f>
        <v>109</v>
      </c>
      <c r="E45">
        <f>'Total Notebooks (Final)'!G45+'Total Notebooks (Final)'!L45+'Total Notebooks (Final)'!Q45+'Total Notebooks (Final)'!V45</f>
        <v>109</v>
      </c>
      <c r="F45">
        <f>'Total Notebooks (Final)'!H45+'Total Notebooks (Final)'!M45+'Total Notebooks (Final)'!R45+'Total Notebooks (Final)'!W45</f>
        <v>109</v>
      </c>
      <c r="G45">
        <f>'Total Notebooks (Final)'!I45+'Total Notebooks (Final)'!N45+'Total Notebooks (Final)'!S45+'Total Notebooks (Final)'!X45</f>
        <v>109</v>
      </c>
      <c r="H45">
        <f>'Total Notebooks (Final)'!Z45+'Total Notebooks (Final)'!AB45+'Total Notebooks (Final)'!AD45+'Total Notebooks (Final)'!AF45+'Total Notebooks (Final)'!AH45+'Total Notebooks (Final)'!AK45</f>
        <v>800</v>
      </c>
      <c r="I45">
        <f>'Total Notebooks (Final)'!AI45+'Total Notebooks (Final)'!AL45</f>
        <v>0</v>
      </c>
      <c r="J45" s="13">
        <f t="shared" si="0"/>
        <v>1236</v>
      </c>
    </row>
    <row r="46" spans="1:10" hidden="1" x14ac:dyDescent="0.25">
      <c r="A46" s="15">
        <v>44</v>
      </c>
      <c r="B46" s="10" t="s">
        <v>80</v>
      </c>
      <c r="C46" s="10" t="s">
        <v>107</v>
      </c>
      <c r="D46">
        <f>'Total Notebooks (Final)'!F46+'Total Notebooks (Final)'!K46+'Total Notebooks (Final)'!P46+'Total Notebooks (Final)'!U46</f>
        <v>63</v>
      </c>
      <c r="E46">
        <f>'Total Notebooks (Final)'!G46+'Total Notebooks (Final)'!L46+'Total Notebooks (Final)'!Q46+'Total Notebooks (Final)'!V46</f>
        <v>63</v>
      </c>
      <c r="F46">
        <f>'Total Notebooks (Final)'!H46+'Total Notebooks (Final)'!M46+'Total Notebooks (Final)'!R46+'Total Notebooks (Final)'!W46</f>
        <v>63</v>
      </c>
      <c r="G46">
        <f>'Total Notebooks (Final)'!I46+'Total Notebooks (Final)'!N46+'Total Notebooks (Final)'!S46+'Total Notebooks (Final)'!X46</f>
        <v>63</v>
      </c>
      <c r="H46">
        <f>'Total Notebooks (Final)'!Z46+'Total Notebooks (Final)'!AB46+'Total Notebooks (Final)'!AD46+'Total Notebooks (Final)'!AF46+'Total Notebooks (Final)'!AH46+'Total Notebooks (Final)'!AK46</f>
        <v>360</v>
      </c>
      <c r="I46">
        <f>'Total Notebooks (Final)'!AI46+'Total Notebooks (Final)'!AL46</f>
        <v>0</v>
      </c>
      <c r="J46" s="13">
        <f t="shared" si="0"/>
        <v>612</v>
      </c>
    </row>
    <row r="47" spans="1:10" hidden="1" x14ac:dyDescent="0.25">
      <c r="A47" s="3">
        <v>45</v>
      </c>
      <c r="B47" s="10" t="s">
        <v>80</v>
      </c>
      <c r="C47" s="10" t="s">
        <v>108</v>
      </c>
      <c r="D47">
        <f>'Total Notebooks (Final)'!F47+'Total Notebooks (Final)'!K47+'Total Notebooks (Final)'!P47+'Total Notebooks (Final)'!U47</f>
        <v>92</v>
      </c>
      <c r="E47">
        <f>'Total Notebooks (Final)'!G47+'Total Notebooks (Final)'!L47+'Total Notebooks (Final)'!Q47+'Total Notebooks (Final)'!V47</f>
        <v>92</v>
      </c>
      <c r="F47">
        <f>'Total Notebooks (Final)'!H47+'Total Notebooks (Final)'!M47+'Total Notebooks (Final)'!R47+'Total Notebooks (Final)'!W47</f>
        <v>92</v>
      </c>
      <c r="G47">
        <f>'Total Notebooks (Final)'!I47+'Total Notebooks (Final)'!N47+'Total Notebooks (Final)'!S47+'Total Notebooks (Final)'!X47</f>
        <v>92</v>
      </c>
      <c r="H47">
        <f>'Total Notebooks (Final)'!Z47+'Total Notebooks (Final)'!AB47+'Total Notebooks (Final)'!AD47+'Total Notebooks (Final)'!AF47+'Total Notebooks (Final)'!AH47+'Total Notebooks (Final)'!AK47</f>
        <v>0</v>
      </c>
      <c r="I47">
        <f>'Total Notebooks (Final)'!AI47+'Total Notebooks (Final)'!AL47</f>
        <v>0</v>
      </c>
      <c r="J47" s="13">
        <f t="shared" si="0"/>
        <v>368</v>
      </c>
    </row>
    <row r="48" spans="1:10" hidden="1" x14ac:dyDescent="0.25">
      <c r="A48" s="15">
        <v>46</v>
      </c>
      <c r="B48" s="10" t="s">
        <v>80</v>
      </c>
      <c r="C48" s="1" t="s">
        <v>109</v>
      </c>
      <c r="D48">
        <f>'Total Notebooks (Final)'!F48+'Total Notebooks (Final)'!K48+'Total Notebooks (Final)'!P48+'Total Notebooks (Final)'!U48</f>
        <v>35</v>
      </c>
      <c r="E48">
        <f>'Total Notebooks (Final)'!G48+'Total Notebooks (Final)'!L48+'Total Notebooks (Final)'!Q48+'Total Notebooks (Final)'!V48</f>
        <v>35</v>
      </c>
      <c r="F48">
        <f>'Total Notebooks (Final)'!H48+'Total Notebooks (Final)'!M48+'Total Notebooks (Final)'!R48+'Total Notebooks (Final)'!W48</f>
        <v>35</v>
      </c>
      <c r="G48">
        <f>'Total Notebooks (Final)'!I48+'Total Notebooks (Final)'!N48+'Total Notebooks (Final)'!S48+'Total Notebooks (Final)'!X48</f>
        <v>35</v>
      </c>
      <c r="H48">
        <f>'Total Notebooks (Final)'!Z48+'Total Notebooks (Final)'!AB48+'Total Notebooks (Final)'!AD48+'Total Notebooks (Final)'!AF48+'Total Notebooks (Final)'!AH48+'Total Notebooks (Final)'!AK48</f>
        <v>56</v>
      </c>
      <c r="I48">
        <f>'Total Notebooks (Final)'!AI48+'Total Notebooks (Final)'!AL48</f>
        <v>0</v>
      </c>
      <c r="J48" s="13">
        <f t="shared" si="0"/>
        <v>196</v>
      </c>
    </row>
    <row r="49" spans="1:10" hidden="1" x14ac:dyDescent="0.25">
      <c r="A49" s="3">
        <v>47</v>
      </c>
      <c r="B49" s="10" t="s">
        <v>80</v>
      </c>
      <c r="C49" s="10" t="s">
        <v>112</v>
      </c>
      <c r="D49">
        <f>'Total Notebooks (Final)'!F49+'Total Notebooks (Final)'!K49+'Total Notebooks (Final)'!P49+'Total Notebooks (Final)'!U49</f>
        <v>15</v>
      </c>
      <c r="E49">
        <f>'Total Notebooks (Final)'!G49+'Total Notebooks (Final)'!L49+'Total Notebooks (Final)'!Q49+'Total Notebooks (Final)'!V49</f>
        <v>15</v>
      </c>
      <c r="F49">
        <f>'Total Notebooks (Final)'!H49+'Total Notebooks (Final)'!M49+'Total Notebooks (Final)'!R49+'Total Notebooks (Final)'!W49</f>
        <v>15</v>
      </c>
      <c r="G49">
        <f>'Total Notebooks (Final)'!I49+'Total Notebooks (Final)'!N49+'Total Notebooks (Final)'!S49+'Total Notebooks (Final)'!X49</f>
        <v>15</v>
      </c>
      <c r="H49">
        <f>'Total Notebooks (Final)'!Z49+'Total Notebooks (Final)'!AB49+'Total Notebooks (Final)'!AD49+'Total Notebooks (Final)'!AF49+'Total Notebooks (Final)'!AH49+'Total Notebooks (Final)'!AK49</f>
        <v>856</v>
      </c>
      <c r="I49">
        <f>'Total Notebooks (Final)'!AI49+'Total Notebooks (Final)'!AL49</f>
        <v>0</v>
      </c>
      <c r="J49" s="13">
        <f t="shared" si="0"/>
        <v>916</v>
      </c>
    </row>
    <row r="50" spans="1:10" hidden="1" x14ac:dyDescent="0.25">
      <c r="A50" s="15">
        <v>48</v>
      </c>
      <c r="B50" s="10" t="s">
        <v>80</v>
      </c>
      <c r="C50" s="10" t="s">
        <v>131</v>
      </c>
      <c r="D50">
        <f>'Total Notebooks (Final)'!F50+'Total Notebooks (Final)'!K50+'Total Notebooks (Final)'!P50+'Total Notebooks (Final)'!U50</f>
        <v>0</v>
      </c>
      <c r="E50">
        <f>'Total Notebooks (Final)'!G50+'Total Notebooks (Final)'!L50+'Total Notebooks (Final)'!Q50+'Total Notebooks (Final)'!V50</f>
        <v>0</v>
      </c>
      <c r="F50">
        <f>'Total Notebooks (Final)'!H50+'Total Notebooks (Final)'!M50+'Total Notebooks (Final)'!R50+'Total Notebooks (Final)'!W50</f>
        <v>0</v>
      </c>
      <c r="G50">
        <f>'Total Notebooks (Final)'!I50+'Total Notebooks (Final)'!N50+'Total Notebooks (Final)'!S50+'Total Notebooks (Final)'!X50</f>
        <v>0</v>
      </c>
      <c r="H50">
        <f>'Total Notebooks (Final)'!Z50+'Total Notebooks (Final)'!AB50+'Total Notebooks (Final)'!AD50+'Total Notebooks (Final)'!AF50+'Total Notebooks (Final)'!AH50+'Total Notebooks (Final)'!AK50</f>
        <v>1328</v>
      </c>
      <c r="I50">
        <f>'Total Notebooks (Final)'!AI50+'Total Notebooks (Final)'!AL50</f>
        <v>500</v>
      </c>
      <c r="J50" s="13">
        <f t="shared" si="0"/>
        <v>1828</v>
      </c>
    </row>
    <row r="51" spans="1:10" hidden="1" x14ac:dyDescent="0.25">
      <c r="A51" s="3">
        <v>49</v>
      </c>
      <c r="B51" s="10" t="s">
        <v>80</v>
      </c>
      <c r="C51" s="10" t="s">
        <v>114</v>
      </c>
      <c r="D51">
        <f>'Total Notebooks (Final)'!F51+'Total Notebooks (Final)'!K51+'Total Notebooks (Final)'!P51+'Total Notebooks (Final)'!U51</f>
        <v>80</v>
      </c>
      <c r="E51">
        <f>'Total Notebooks (Final)'!G51+'Total Notebooks (Final)'!L51+'Total Notebooks (Final)'!Q51+'Total Notebooks (Final)'!V51</f>
        <v>80</v>
      </c>
      <c r="F51">
        <f>'Total Notebooks (Final)'!H51+'Total Notebooks (Final)'!M51+'Total Notebooks (Final)'!R51+'Total Notebooks (Final)'!W51</f>
        <v>80</v>
      </c>
      <c r="G51">
        <f>'Total Notebooks (Final)'!I51+'Total Notebooks (Final)'!N51+'Total Notebooks (Final)'!S51+'Total Notebooks (Final)'!X51</f>
        <v>80</v>
      </c>
      <c r="H51">
        <f>'Total Notebooks (Final)'!Z51+'Total Notebooks (Final)'!AB51+'Total Notebooks (Final)'!AD51+'Total Notebooks (Final)'!AF51+'Total Notebooks (Final)'!AH51+'Total Notebooks (Final)'!AK51</f>
        <v>696</v>
      </c>
      <c r="I51">
        <f>'Total Notebooks (Final)'!AI51+'Total Notebooks (Final)'!AL51</f>
        <v>0</v>
      </c>
      <c r="J51" s="13">
        <f t="shared" si="0"/>
        <v>1016</v>
      </c>
    </row>
    <row r="52" spans="1:10" hidden="1" x14ac:dyDescent="0.25">
      <c r="A52" s="15">
        <v>50</v>
      </c>
      <c r="B52" s="10" t="s">
        <v>80</v>
      </c>
      <c r="C52" s="10"/>
      <c r="D52">
        <f>'Total Notebooks (Final)'!F52+'Total Notebooks (Final)'!K52+'Total Notebooks (Final)'!P52+'Total Notebooks (Final)'!U52</f>
        <v>49</v>
      </c>
      <c r="E52">
        <f>'Total Notebooks (Final)'!G52+'Total Notebooks (Final)'!L52+'Total Notebooks (Final)'!Q52+'Total Notebooks (Final)'!V52</f>
        <v>49</v>
      </c>
      <c r="F52">
        <f>'Total Notebooks (Final)'!H52+'Total Notebooks (Final)'!M52+'Total Notebooks (Final)'!R52+'Total Notebooks (Final)'!W52</f>
        <v>49</v>
      </c>
      <c r="G52">
        <f>'Total Notebooks (Final)'!I52+'Total Notebooks (Final)'!N52+'Total Notebooks (Final)'!S52+'Total Notebooks (Final)'!X52</f>
        <v>49</v>
      </c>
      <c r="H52">
        <f>'Total Notebooks (Final)'!Z52+'Total Notebooks (Final)'!AB52+'Total Notebooks (Final)'!AD52+'Total Notebooks (Final)'!AF52+'Total Notebooks (Final)'!AH52+'Total Notebooks (Final)'!AK52</f>
        <v>2648</v>
      </c>
      <c r="I52">
        <f>'Total Notebooks (Final)'!AI52+'Total Notebooks (Final)'!AL52</f>
        <v>704</v>
      </c>
      <c r="J52" s="13">
        <f t="shared" si="0"/>
        <v>3548</v>
      </c>
    </row>
    <row r="53" spans="1:10" hidden="1" x14ac:dyDescent="0.25">
      <c r="A53" s="3">
        <v>51</v>
      </c>
      <c r="B53" s="10" t="s">
        <v>80</v>
      </c>
      <c r="C53" s="10" t="s">
        <v>116</v>
      </c>
      <c r="D53">
        <f>'Total Notebooks (Final)'!F53+'Total Notebooks (Final)'!K53+'Total Notebooks (Final)'!P53+'Total Notebooks (Final)'!U53</f>
        <v>53</v>
      </c>
      <c r="E53">
        <f>'Total Notebooks (Final)'!G53+'Total Notebooks (Final)'!L53+'Total Notebooks (Final)'!Q53+'Total Notebooks (Final)'!V53</f>
        <v>53</v>
      </c>
      <c r="F53">
        <f>'Total Notebooks (Final)'!H53+'Total Notebooks (Final)'!M53+'Total Notebooks (Final)'!R53+'Total Notebooks (Final)'!W53</f>
        <v>53</v>
      </c>
      <c r="G53">
        <f>'Total Notebooks (Final)'!I53+'Total Notebooks (Final)'!N53+'Total Notebooks (Final)'!S53+'Total Notebooks (Final)'!X53</f>
        <v>53</v>
      </c>
      <c r="H53">
        <f>'Total Notebooks (Final)'!Z53+'Total Notebooks (Final)'!AB53+'Total Notebooks (Final)'!AD53+'Total Notebooks (Final)'!AF53+'Total Notebooks (Final)'!AH53+'Total Notebooks (Final)'!AK53</f>
        <v>448</v>
      </c>
      <c r="I53">
        <f>'Total Notebooks (Final)'!AI53+'Total Notebooks (Final)'!AL53</f>
        <v>0</v>
      </c>
      <c r="J53" s="13">
        <f t="shared" si="0"/>
        <v>660</v>
      </c>
    </row>
    <row r="54" spans="1:10" x14ac:dyDescent="0.25">
      <c r="A54" s="15">
        <v>52</v>
      </c>
      <c r="B54" s="10" t="s">
        <v>71</v>
      </c>
      <c r="C54" s="10" t="s">
        <v>119</v>
      </c>
      <c r="D54">
        <f>'Total Notebooks (Final)'!F54+'Total Notebooks (Final)'!K54+'Total Notebooks (Final)'!P54+'Total Notebooks (Final)'!U54</f>
        <v>71</v>
      </c>
      <c r="E54">
        <f>'Total Notebooks (Final)'!G54+'Total Notebooks (Final)'!L54+'Total Notebooks (Final)'!Q54+'Total Notebooks (Final)'!V54</f>
        <v>71</v>
      </c>
      <c r="F54">
        <f>'Total Notebooks (Final)'!H54+'Total Notebooks (Final)'!M54+'Total Notebooks (Final)'!R54+'Total Notebooks (Final)'!W54</f>
        <v>71</v>
      </c>
      <c r="G54">
        <f>'Total Notebooks (Final)'!I54+'Total Notebooks (Final)'!N54+'Total Notebooks (Final)'!S54+'Total Notebooks (Final)'!X54</f>
        <v>71</v>
      </c>
      <c r="H54">
        <f>'Total Notebooks (Final)'!Z54+'Total Notebooks (Final)'!AB54+'Total Notebooks (Final)'!AD54+'Total Notebooks (Final)'!AF54+'Total Notebooks (Final)'!AH54+'Total Notebooks (Final)'!AK54</f>
        <v>704</v>
      </c>
      <c r="I54">
        <f>'Total Notebooks (Final)'!AI54+'Total Notebooks (Final)'!AL54</f>
        <v>0</v>
      </c>
      <c r="J54" s="13">
        <f t="shared" si="0"/>
        <v>988</v>
      </c>
    </row>
    <row r="55" spans="1:10" x14ac:dyDescent="0.25">
      <c r="A55" s="3">
        <v>53</v>
      </c>
      <c r="B55" s="10" t="s">
        <v>71</v>
      </c>
      <c r="C55" s="10" t="s">
        <v>121</v>
      </c>
      <c r="D55">
        <f>'Total Notebooks (Final)'!F55+'Total Notebooks (Final)'!K55+'Total Notebooks (Final)'!P55+'Total Notebooks (Final)'!U55</f>
        <v>149</v>
      </c>
      <c r="E55">
        <f>'Total Notebooks (Final)'!G55+'Total Notebooks (Final)'!L55+'Total Notebooks (Final)'!Q55+'Total Notebooks (Final)'!V55</f>
        <v>149</v>
      </c>
      <c r="F55">
        <f>'Total Notebooks (Final)'!H55+'Total Notebooks (Final)'!M55+'Total Notebooks (Final)'!R55+'Total Notebooks (Final)'!W55</f>
        <v>149</v>
      </c>
      <c r="G55">
        <f>'Total Notebooks (Final)'!I55+'Total Notebooks (Final)'!N55+'Total Notebooks (Final)'!S55+'Total Notebooks (Final)'!X55</f>
        <v>149</v>
      </c>
      <c r="H55">
        <f>'Total Notebooks (Final)'!Z55+'Total Notebooks (Final)'!AB55+'Total Notebooks (Final)'!AD55+'Total Notebooks (Final)'!AF55+'Total Notebooks (Final)'!AH55+'Total Notebooks (Final)'!AK55</f>
        <v>1672</v>
      </c>
      <c r="I55">
        <f>'Total Notebooks (Final)'!AI55+'Total Notebooks (Final)'!AL55</f>
        <v>0</v>
      </c>
      <c r="J55" s="13">
        <f t="shared" si="0"/>
        <v>2268</v>
      </c>
    </row>
    <row r="56" spans="1:10" x14ac:dyDescent="0.25">
      <c r="A56" s="15">
        <v>54</v>
      </c>
      <c r="B56" s="10" t="s">
        <v>71</v>
      </c>
      <c r="C56" s="10" t="s">
        <v>221</v>
      </c>
      <c r="D56">
        <f>'Total Notebooks (Final)'!F56+'Total Notebooks (Final)'!K56+'Total Notebooks (Final)'!P56+'Total Notebooks (Final)'!U56</f>
        <v>15</v>
      </c>
      <c r="E56">
        <f>'Total Notebooks (Final)'!G56+'Total Notebooks (Final)'!L56+'Total Notebooks (Final)'!Q56+'Total Notebooks (Final)'!V56</f>
        <v>15</v>
      </c>
      <c r="F56">
        <f>'Total Notebooks (Final)'!H56+'Total Notebooks (Final)'!M56+'Total Notebooks (Final)'!R56+'Total Notebooks (Final)'!W56</f>
        <v>15</v>
      </c>
      <c r="G56">
        <f>'Total Notebooks (Final)'!I56+'Total Notebooks (Final)'!N56+'Total Notebooks (Final)'!S56+'Total Notebooks (Final)'!X56</f>
        <v>15</v>
      </c>
      <c r="H56">
        <f>'Total Notebooks (Final)'!Z56+'Total Notebooks (Final)'!AB56+'Total Notebooks (Final)'!AD56+'Total Notebooks (Final)'!AF56+'Total Notebooks (Final)'!AH56+'Total Notebooks (Final)'!AK56</f>
        <v>192</v>
      </c>
      <c r="I56">
        <f>'Total Notebooks (Final)'!AI56+'Total Notebooks (Final)'!AL56</f>
        <v>0</v>
      </c>
      <c r="J56" s="13">
        <f t="shared" si="0"/>
        <v>252</v>
      </c>
    </row>
    <row r="57" spans="1:10" x14ac:dyDescent="0.25">
      <c r="A57" s="3">
        <v>55</v>
      </c>
      <c r="B57" s="10" t="s">
        <v>71</v>
      </c>
      <c r="C57" s="10" t="s">
        <v>222</v>
      </c>
      <c r="D57">
        <f>'Total Notebooks (Final)'!F57+'Total Notebooks (Final)'!K57+'Total Notebooks (Final)'!P57+'Total Notebooks (Final)'!U57</f>
        <v>33</v>
      </c>
      <c r="E57">
        <f>'Total Notebooks (Final)'!G57+'Total Notebooks (Final)'!L57+'Total Notebooks (Final)'!Q57+'Total Notebooks (Final)'!V57</f>
        <v>33</v>
      </c>
      <c r="F57">
        <f>'Total Notebooks (Final)'!H57+'Total Notebooks (Final)'!M57+'Total Notebooks (Final)'!R57+'Total Notebooks (Final)'!W57</f>
        <v>33</v>
      </c>
      <c r="G57">
        <f>'Total Notebooks (Final)'!I57+'Total Notebooks (Final)'!N57+'Total Notebooks (Final)'!S57+'Total Notebooks (Final)'!X57</f>
        <v>33</v>
      </c>
      <c r="H57">
        <f>'Total Notebooks (Final)'!Z57+'Total Notebooks (Final)'!AB57+'Total Notebooks (Final)'!AD57+'Total Notebooks (Final)'!AF57+'Total Notebooks (Final)'!AH57+'Total Notebooks (Final)'!AK57</f>
        <v>320</v>
      </c>
      <c r="I57">
        <f>'Total Notebooks (Final)'!AI57+'Total Notebooks (Final)'!AL57</f>
        <v>0</v>
      </c>
      <c r="J57" s="13">
        <f t="shared" si="0"/>
        <v>452</v>
      </c>
    </row>
    <row r="58" spans="1:10" hidden="1" x14ac:dyDescent="0.25">
      <c r="A58" s="15">
        <v>56</v>
      </c>
      <c r="B58" s="10" t="s">
        <v>80</v>
      </c>
      <c r="C58" s="10" t="s">
        <v>132</v>
      </c>
      <c r="D58">
        <f>'Total Notebooks (Final)'!F58+'Total Notebooks (Final)'!K58+'Total Notebooks (Final)'!P58+'Total Notebooks (Final)'!U58</f>
        <v>51</v>
      </c>
      <c r="E58">
        <f>'Total Notebooks (Final)'!G58+'Total Notebooks (Final)'!L58+'Total Notebooks (Final)'!Q58+'Total Notebooks (Final)'!V58</f>
        <v>51</v>
      </c>
      <c r="F58">
        <f>'Total Notebooks (Final)'!H58+'Total Notebooks (Final)'!M58+'Total Notebooks (Final)'!R58+'Total Notebooks (Final)'!W58</f>
        <v>51</v>
      </c>
      <c r="G58">
        <f>'Total Notebooks (Final)'!I58+'Total Notebooks (Final)'!N58+'Total Notebooks (Final)'!S58+'Total Notebooks (Final)'!X58</f>
        <v>51</v>
      </c>
      <c r="H58">
        <f>'Total Notebooks (Final)'!Z58+'Total Notebooks (Final)'!AB58+'Total Notebooks (Final)'!AD58+'Total Notebooks (Final)'!AF58+'Total Notebooks (Final)'!AH58+'Total Notebooks (Final)'!AK58</f>
        <v>672</v>
      </c>
      <c r="I58">
        <f>'Total Notebooks (Final)'!AI58+'Total Notebooks (Final)'!AL58</f>
        <v>0</v>
      </c>
      <c r="J58" s="13">
        <f t="shared" si="0"/>
        <v>876</v>
      </c>
    </row>
    <row r="59" spans="1:10" hidden="1" x14ac:dyDescent="0.25">
      <c r="A59" s="3">
        <v>57</v>
      </c>
      <c r="B59" s="10" t="s">
        <v>80</v>
      </c>
      <c r="C59" s="10" t="s">
        <v>133</v>
      </c>
      <c r="D59">
        <f>'Total Notebooks (Final)'!F59+'Total Notebooks (Final)'!K59+'Total Notebooks (Final)'!P59+'Total Notebooks (Final)'!U59</f>
        <v>155</v>
      </c>
      <c r="E59">
        <f>'Total Notebooks (Final)'!G59+'Total Notebooks (Final)'!L59+'Total Notebooks (Final)'!Q59+'Total Notebooks (Final)'!V59</f>
        <v>155</v>
      </c>
      <c r="F59">
        <f>'Total Notebooks (Final)'!H59+'Total Notebooks (Final)'!M59+'Total Notebooks (Final)'!R59+'Total Notebooks (Final)'!W59</f>
        <v>155</v>
      </c>
      <c r="G59">
        <f>'Total Notebooks (Final)'!I59+'Total Notebooks (Final)'!N59+'Total Notebooks (Final)'!S59+'Total Notebooks (Final)'!X59</f>
        <v>155</v>
      </c>
      <c r="H59">
        <f>'Total Notebooks (Final)'!Z59+'Total Notebooks (Final)'!AB59+'Total Notebooks (Final)'!AD59+'Total Notebooks (Final)'!AF59+'Total Notebooks (Final)'!AH59+'Total Notebooks (Final)'!AK59</f>
        <v>1000</v>
      </c>
      <c r="I59">
        <f>'Total Notebooks (Final)'!AI59+'Total Notebooks (Final)'!AL59</f>
        <v>0</v>
      </c>
      <c r="J59" s="13">
        <f t="shared" si="0"/>
        <v>1620</v>
      </c>
    </row>
    <row r="60" spans="1:10" x14ac:dyDescent="0.25">
      <c r="A60" s="53">
        <v>58</v>
      </c>
      <c r="B60" s="10" t="s">
        <v>71</v>
      </c>
      <c r="C60" s="10" t="s">
        <v>224</v>
      </c>
      <c r="D60">
        <f>'Total Notebooks (Final)'!F60+'Total Notebooks (Final)'!K60+'Total Notebooks (Final)'!P60+'Total Notebooks (Final)'!U60</f>
        <v>127</v>
      </c>
      <c r="E60">
        <f>'Total Notebooks (Final)'!G60+'Total Notebooks (Final)'!L60+'Total Notebooks (Final)'!Q60+'Total Notebooks (Final)'!V60</f>
        <v>127</v>
      </c>
      <c r="F60">
        <f>'Total Notebooks (Final)'!H60+'Total Notebooks (Final)'!M60+'Total Notebooks (Final)'!R60+'Total Notebooks (Final)'!W60</f>
        <v>127</v>
      </c>
      <c r="G60">
        <f>'Total Notebooks (Final)'!I60+'Total Notebooks (Final)'!N60+'Total Notebooks (Final)'!S60+'Total Notebooks (Final)'!X60</f>
        <v>127</v>
      </c>
      <c r="H60">
        <f>'Total Notebooks (Final)'!Z60+'Total Notebooks (Final)'!AB60+'Total Notebooks (Final)'!AD60+'Total Notebooks (Final)'!AF60+'Total Notebooks (Final)'!AH60+'Total Notebooks (Final)'!AK60</f>
        <v>1336</v>
      </c>
      <c r="I60">
        <f>'Total Notebooks (Final)'!AI60+'Total Notebooks (Final)'!AL60</f>
        <v>0</v>
      </c>
      <c r="J60" s="13">
        <f t="shared" si="0"/>
        <v>1844</v>
      </c>
    </row>
    <row r="61" spans="1:10" x14ac:dyDescent="0.25">
      <c r="A61" s="1">
        <v>59</v>
      </c>
      <c r="B61" s="10" t="s">
        <v>71</v>
      </c>
      <c r="C61" s="10" t="s">
        <v>156</v>
      </c>
      <c r="D61">
        <f>'Total Notebooks (Final)'!F61+'Total Notebooks (Final)'!K61+'Total Notebooks (Final)'!P61+'Total Notebooks (Final)'!U61</f>
        <v>208</v>
      </c>
      <c r="E61">
        <f>'Total Notebooks (Final)'!G61+'Total Notebooks (Final)'!L61+'Total Notebooks (Final)'!Q61+'Total Notebooks (Final)'!V61</f>
        <v>208</v>
      </c>
      <c r="F61">
        <f>'Total Notebooks (Final)'!H61+'Total Notebooks (Final)'!M61+'Total Notebooks (Final)'!R61+'Total Notebooks (Final)'!W61</f>
        <v>208</v>
      </c>
      <c r="G61">
        <f>'Total Notebooks (Final)'!I61+'Total Notebooks (Final)'!N61+'Total Notebooks (Final)'!S61+'Total Notebooks (Final)'!X61</f>
        <v>208</v>
      </c>
      <c r="H61">
        <f>'Total Notebooks (Final)'!Z61+'Total Notebooks (Final)'!AB61+'Total Notebooks (Final)'!AD61+'Total Notebooks (Final)'!AF61+'Total Notebooks (Final)'!AH61+'Total Notebooks (Final)'!AK61</f>
        <v>1728</v>
      </c>
      <c r="I61">
        <f>'Total Notebooks (Final)'!AI61+'Total Notebooks (Final)'!AL61</f>
        <v>0</v>
      </c>
      <c r="J61" s="13">
        <f t="shared" si="0"/>
        <v>2560</v>
      </c>
    </row>
    <row r="62" spans="1:10" hidden="1" x14ac:dyDescent="0.25">
      <c r="A62" s="1">
        <v>60</v>
      </c>
      <c r="B62" s="10" t="s">
        <v>80</v>
      </c>
      <c r="C62" s="10" t="s">
        <v>106</v>
      </c>
      <c r="D62">
        <f>'Total Notebooks (Final)'!F62+'Total Notebooks (Final)'!K62+'Total Notebooks (Final)'!P62+'Total Notebooks (Final)'!U62</f>
        <v>161</v>
      </c>
      <c r="E62">
        <f>'Total Notebooks (Final)'!G62+'Total Notebooks (Final)'!L62+'Total Notebooks (Final)'!Q62+'Total Notebooks (Final)'!V62</f>
        <v>161</v>
      </c>
      <c r="F62">
        <f>'Total Notebooks (Final)'!H62+'Total Notebooks (Final)'!M62+'Total Notebooks (Final)'!R62+'Total Notebooks (Final)'!W62</f>
        <v>161</v>
      </c>
      <c r="G62">
        <f>'Total Notebooks (Final)'!I62+'Total Notebooks (Final)'!N62+'Total Notebooks (Final)'!S62+'Total Notebooks (Final)'!X62</f>
        <v>161</v>
      </c>
      <c r="H62">
        <f>'Total Notebooks (Final)'!Z62+'Total Notebooks (Final)'!AB62+'Total Notebooks (Final)'!AD62+'Total Notebooks (Final)'!AF62+'Total Notebooks (Final)'!AH62+'Total Notebooks (Final)'!AK62</f>
        <v>2296</v>
      </c>
      <c r="I62">
        <f>'Total Notebooks (Final)'!AI62+'Total Notebooks (Final)'!AL62</f>
        <v>300</v>
      </c>
      <c r="J62" s="13">
        <f t="shared" si="0"/>
        <v>3240</v>
      </c>
    </row>
    <row r="63" spans="1:10" hidden="1" x14ac:dyDescent="0.25">
      <c r="A63" s="1">
        <v>61</v>
      </c>
      <c r="B63" s="10" t="s">
        <v>80</v>
      </c>
      <c r="C63" s="10" t="s">
        <v>140</v>
      </c>
      <c r="D63">
        <f>'Total Notebooks (Final)'!F63+'Total Notebooks (Final)'!K63+'Total Notebooks (Final)'!P63+'Total Notebooks (Final)'!U63</f>
        <v>66</v>
      </c>
      <c r="E63">
        <f>'Total Notebooks (Final)'!G63+'Total Notebooks (Final)'!L63+'Total Notebooks (Final)'!Q63+'Total Notebooks (Final)'!V63</f>
        <v>66</v>
      </c>
      <c r="F63">
        <f>'Total Notebooks (Final)'!H63+'Total Notebooks (Final)'!M63+'Total Notebooks (Final)'!R63+'Total Notebooks (Final)'!W63</f>
        <v>66</v>
      </c>
      <c r="G63">
        <f>'Total Notebooks (Final)'!I63+'Total Notebooks (Final)'!N63+'Total Notebooks (Final)'!S63+'Total Notebooks (Final)'!X63</f>
        <v>66</v>
      </c>
      <c r="H63">
        <f>'Total Notebooks (Final)'!Z63+'Total Notebooks (Final)'!AB63+'Total Notebooks (Final)'!AD63+'Total Notebooks (Final)'!AF63+'Total Notebooks (Final)'!AH63+'Total Notebooks (Final)'!AK63</f>
        <v>584</v>
      </c>
      <c r="I63">
        <f>'Total Notebooks (Final)'!AI63+'Total Notebooks (Final)'!AL63</f>
        <v>0</v>
      </c>
      <c r="J63" s="13">
        <f t="shared" si="0"/>
        <v>848</v>
      </c>
    </row>
    <row r="64" spans="1:10" hidden="1" x14ac:dyDescent="0.25">
      <c r="A64" s="15">
        <v>62</v>
      </c>
      <c r="B64" s="10" t="s">
        <v>80</v>
      </c>
      <c r="C64" s="10" t="s">
        <v>139</v>
      </c>
      <c r="D64">
        <f>'Total Notebooks (Final)'!F64+'Total Notebooks (Final)'!K64+'Total Notebooks (Final)'!P64+'Total Notebooks (Final)'!U64</f>
        <v>46</v>
      </c>
      <c r="E64">
        <f>'Total Notebooks (Final)'!G64+'Total Notebooks (Final)'!L64+'Total Notebooks (Final)'!Q64+'Total Notebooks (Final)'!V64</f>
        <v>46</v>
      </c>
      <c r="F64">
        <f>'Total Notebooks (Final)'!H64+'Total Notebooks (Final)'!M64+'Total Notebooks (Final)'!R64+'Total Notebooks (Final)'!W64</f>
        <v>46</v>
      </c>
      <c r="G64">
        <f>'Total Notebooks (Final)'!I64+'Total Notebooks (Final)'!N64+'Total Notebooks (Final)'!S64+'Total Notebooks (Final)'!X64</f>
        <v>46</v>
      </c>
      <c r="H64">
        <f>'Total Notebooks (Final)'!Z64+'Total Notebooks (Final)'!AB64+'Total Notebooks (Final)'!AD64+'Total Notebooks (Final)'!AF64+'Total Notebooks (Final)'!AH64+'Total Notebooks (Final)'!AK64</f>
        <v>448</v>
      </c>
      <c r="I64">
        <f>'Total Notebooks (Final)'!AI64+'Total Notebooks (Final)'!AL64</f>
        <v>0</v>
      </c>
      <c r="J64" s="13">
        <f t="shared" si="0"/>
        <v>632</v>
      </c>
    </row>
    <row r="65" spans="1:10" hidden="1" x14ac:dyDescent="0.25">
      <c r="A65" s="3">
        <v>63</v>
      </c>
      <c r="B65" s="10" t="s">
        <v>80</v>
      </c>
      <c r="C65" s="10" t="s">
        <v>141</v>
      </c>
      <c r="D65">
        <f>'Total Notebooks (Final)'!F65+'Total Notebooks (Final)'!K65+'Total Notebooks (Final)'!P65+'Total Notebooks (Final)'!U65</f>
        <v>67</v>
      </c>
      <c r="E65">
        <f>'Total Notebooks (Final)'!G65+'Total Notebooks (Final)'!L65+'Total Notebooks (Final)'!Q65+'Total Notebooks (Final)'!V65</f>
        <v>67</v>
      </c>
      <c r="F65">
        <f>'Total Notebooks (Final)'!H65+'Total Notebooks (Final)'!M65+'Total Notebooks (Final)'!R65+'Total Notebooks (Final)'!W65</f>
        <v>67</v>
      </c>
      <c r="G65">
        <f>'Total Notebooks (Final)'!I65+'Total Notebooks (Final)'!N65+'Total Notebooks (Final)'!S65+'Total Notebooks (Final)'!X65</f>
        <v>67</v>
      </c>
      <c r="H65">
        <f>'Total Notebooks (Final)'!Z65+'Total Notebooks (Final)'!AB65+'Total Notebooks (Final)'!AD65+'Total Notebooks (Final)'!AF65+'Total Notebooks (Final)'!AH65+'Total Notebooks (Final)'!AK65</f>
        <v>712</v>
      </c>
      <c r="I65">
        <f>'Total Notebooks (Final)'!AI65+'Total Notebooks (Final)'!AL65</f>
        <v>0</v>
      </c>
      <c r="J65" s="13">
        <f t="shared" si="0"/>
        <v>980</v>
      </c>
    </row>
    <row r="66" spans="1:10" hidden="1" x14ac:dyDescent="0.25">
      <c r="A66" s="15">
        <v>64</v>
      </c>
      <c r="B66" s="10" t="s">
        <v>80</v>
      </c>
      <c r="C66" s="10" t="s">
        <v>152</v>
      </c>
      <c r="D66">
        <f>'Total Notebooks (Final)'!F66+'Total Notebooks (Final)'!K66+'Total Notebooks (Final)'!P66+'Total Notebooks (Final)'!U66</f>
        <v>177</v>
      </c>
      <c r="E66">
        <f>'Total Notebooks (Final)'!G66+'Total Notebooks (Final)'!L66+'Total Notebooks (Final)'!Q66+'Total Notebooks (Final)'!V66</f>
        <v>177</v>
      </c>
      <c r="F66">
        <f>'Total Notebooks (Final)'!H66+'Total Notebooks (Final)'!M66+'Total Notebooks (Final)'!R66+'Total Notebooks (Final)'!W66</f>
        <v>177</v>
      </c>
      <c r="G66">
        <f>'Total Notebooks (Final)'!I66+'Total Notebooks (Final)'!N66+'Total Notebooks (Final)'!S66+'Total Notebooks (Final)'!X66</f>
        <v>177</v>
      </c>
      <c r="H66">
        <f>'Total Notebooks (Final)'!Z66+'Total Notebooks (Final)'!AB66+'Total Notebooks (Final)'!AD66+'Total Notebooks (Final)'!AF66+'Total Notebooks (Final)'!AH66+'Total Notebooks (Final)'!AK66</f>
        <v>2456</v>
      </c>
      <c r="I66">
        <f>'Total Notebooks (Final)'!AI66+'Total Notebooks (Final)'!AL66</f>
        <v>340</v>
      </c>
      <c r="J66" s="13">
        <f t="shared" si="0"/>
        <v>3504</v>
      </c>
    </row>
    <row r="67" spans="1:10" hidden="1" x14ac:dyDescent="0.25">
      <c r="A67" s="3">
        <v>65</v>
      </c>
      <c r="B67" s="10" t="s">
        <v>80</v>
      </c>
      <c r="C67" s="10" t="s">
        <v>163</v>
      </c>
      <c r="D67">
        <f>'Total Notebooks (Final)'!F67+'Total Notebooks (Final)'!K67+'Total Notebooks (Final)'!P67+'Total Notebooks (Final)'!U67</f>
        <v>34</v>
      </c>
      <c r="E67">
        <f>'Total Notebooks (Final)'!G67+'Total Notebooks (Final)'!L67+'Total Notebooks (Final)'!Q67+'Total Notebooks (Final)'!V67</f>
        <v>34</v>
      </c>
      <c r="F67">
        <f>'Total Notebooks (Final)'!H67+'Total Notebooks (Final)'!M67+'Total Notebooks (Final)'!R67+'Total Notebooks (Final)'!W67</f>
        <v>34</v>
      </c>
      <c r="G67">
        <f>'Total Notebooks (Final)'!I67+'Total Notebooks (Final)'!N67+'Total Notebooks (Final)'!S67+'Total Notebooks (Final)'!X67</f>
        <v>34</v>
      </c>
      <c r="H67">
        <f>'Total Notebooks (Final)'!Z67+'Total Notebooks (Final)'!AB67+'Total Notebooks (Final)'!AD67+'Total Notebooks (Final)'!AF67+'Total Notebooks (Final)'!AH67+'Total Notebooks (Final)'!AK67</f>
        <v>32</v>
      </c>
      <c r="I67">
        <f>'Total Notebooks (Final)'!AI67+'Total Notebooks (Final)'!AL67</f>
        <v>0</v>
      </c>
      <c r="J67" s="13">
        <f t="shared" si="0"/>
        <v>168</v>
      </c>
    </row>
    <row r="68" spans="1:10" hidden="1" x14ac:dyDescent="0.25">
      <c r="A68" s="15">
        <v>66</v>
      </c>
      <c r="B68" s="10" t="s">
        <v>80</v>
      </c>
      <c r="C68" s="10" t="s">
        <v>142</v>
      </c>
      <c r="D68">
        <f>'Total Notebooks (Final)'!F68+'Total Notebooks (Final)'!K68+'Total Notebooks (Final)'!P68+'Total Notebooks (Final)'!U68</f>
        <v>0</v>
      </c>
      <c r="E68">
        <f>'Total Notebooks (Final)'!G68+'Total Notebooks (Final)'!L68+'Total Notebooks (Final)'!Q68+'Total Notebooks (Final)'!V68</f>
        <v>0</v>
      </c>
      <c r="F68">
        <f>'Total Notebooks (Final)'!H68+'Total Notebooks (Final)'!M68+'Total Notebooks (Final)'!R68+'Total Notebooks (Final)'!W68</f>
        <v>0</v>
      </c>
      <c r="G68">
        <f>'Total Notebooks (Final)'!I68+'Total Notebooks (Final)'!N68+'Total Notebooks (Final)'!S68+'Total Notebooks (Final)'!X68</f>
        <v>0</v>
      </c>
      <c r="H68">
        <f>'Total Notebooks (Final)'!Z68+'Total Notebooks (Final)'!AB68+'Total Notebooks (Final)'!AD68+'Total Notebooks (Final)'!AF68+'Total Notebooks (Final)'!AH68+'Total Notebooks (Final)'!AK68</f>
        <v>0</v>
      </c>
      <c r="I68">
        <f>'Total Notebooks (Final)'!AI68+'Total Notebooks (Final)'!AL68</f>
        <v>0</v>
      </c>
      <c r="J68" s="13">
        <f t="shared" ref="J68:J99" si="2">SUM(D68:I68)</f>
        <v>0</v>
      </c>
    </row>
    <row r="69" spans="1:10" hidden="1" x14ac:dyDescent="0.25">
      <c r="A69" s="52">
        <v>67</v>
      </c>
      <c r="B69" s="10" t="s">
        <v>80</v>
      </c>
      <c r="C69" s="10" t="s">
        <v>153</v>
      </c>
      <c r="D69">
        <f>'Total Notebooks (Final)'!F69+'Total Notebooks (Final)'!K69+'Total Notebooks (Final)'!P69+'Total Notebooks (Final)'!U69</f>
        <v>0</v>
      </c>
      <c r="E69">
        <f>'Total Notebooks (Final)'!G69+'Total Notebooks (Final)'!L69+'Total Notebooks (Final)'!Q69+'Total Notebooks (Final)'!V69</f>
        <v>0</v>
      </c>
      <c r="F69">
        <f>'Total Notebooks (Final)'!H69+'Total Notebooks (Final)'!M69+'Total Notebooks (Final)'!R69+'Total Notebooks (Final)'!W69</f>
        <v>0</v>
      </c>
      <c r="G69">
        <f>'Total Notebooks (Final)'!I69+'Total Notebooks (Final)'!N69+'Total Notebooks (Final)'!S69+'Total Notebooks (Final)'!X69</f>
        <v>0</v>
      </c>
      <c r="H69">
        <f>'Total Notebooks (Final)'!Z69+'Total Notebooks (Final)'!AB69+'Total Notebooks (Final)'!AD69+'Total Notebooks (Final)'!AF69+'Total Notebooks (Final)'!AH69+'Total Notebooks (Final)'!AK69</f>
        <v>0</v>
      </c>
      <c r="I69">
        <f>'Total Notebooks (Final)'!AI69+'Total Notebooks (Final)'!AL69</f>
        <v>0</v>
      </c>
      <c r="J69" s="13">
        <f t="shared" si="2"/>
        <v>0</v>
      </c>
    </row>
    <row r="70" spans="1:10" hidden="1" x14ac:dyDescent="0.25">
      <c r="A70" s="1">
        <v>68</v>
      </c>
      <c r="B70" s="10" t="s">
        <v>80</v>
      </c>
      <c r="C70" s="10" t="s">
        <v>111</v>
      </c>
      <c r="D70">
        <f>'Total Notebooks (Final)'!F70+'Total Notebooks (Final)'!K70+'Total Notebooks (Final)'!P70+'Total Notebooks (Final)'!U70</f>
        <v>111</v>
      </c>
      <c r="E70">
        <f>'Total Notebooks (Final)'!G70+'Total Notebooks (Final)'!L70+'Total Notebooks (Final)'!Q70+'Total Notebooks (Final)'!V70</f>
        <v>111</v>
      </c>
      <c r="F70">
        <f>'Total Notebooks (Final)'!H70+'Total Notebooks (Final)'!M70+'Total Notebooks (Final)'!R70+'Total Notebooks (Final)'!W70</f>
        <v>111</v>
      </c>
      <c r="G70">
        <f>'Total Notebooks (Final)'!I70+'Total Notebooks (Final)'!N70+'Total Notebooks (Final)'!S70+'Total Notebooks (Final)'!X70</f>
        <v>111</v>
      </c>
      <c r="H70">
        <f>'Total Notebooks (Final)'!Z70+'Total Notebooks (Final)'!AB70+'Total Notebooks (Final)'!AD70+'Total Notebooks (Final)'!AF70+'Total Notebooks (Final)'!AH70+'Total Notebooks (Final)'!AK70</f>
        <v>832</v>
      </c>
      <c r="I70">
        <f>'Total Notebooks (Final)'!AI70+'Total Notebooks (Final)'!AL70</f>
        <v>0</v>
      </c>
      <c r="J70" s="13">
        <f t="shared" si="2"/>
        <v>1276</v>
      </c>
    </row>
    <row r="71" spans="1:10" hidden="1" x14ac:dyDescent="0.25">
      <c r="A71" s="52">
        <v>69</v>
      </c>
      <c r="B71" s="10" t="s">
        <v>80</v>
      </c>
      <c r="C71" s="10" t="s">
        <v>143</v>
      </c>
      <c r="D71">
        <f>'Total Notebooks (Final)'!F71+'Total Notebooks (Final)'!K71+'Total Notebooks (Final)'!P71+'Total Notebooks (Final)'!U71</f>
        <v>84</v>
      </c>
      <c r="E71">
        <f>'Total Notebooks (Final)'!G71+'Total Notebooks (Final)'!L71+'Total Notebooks (Final)'!Q71+'Total Notebooks (Final)'!V71</f>
        <v>84</v>
      </c>
      <c r="F71">
        <f>'Total Notebooks (Final)'!H71+'Total Notebooks (Final)'!M71+'Total Notebooks (Final)'!R71+'Total Notebooks (Final)'!W71</f>
        <v>84</v>
      </c>
      <c r="G71">
        <f>'Total Notebooks (Final)'!I71+'Total Notebooks (Final)'!N71+'Total Notebooks (Final)'!S71+'Total Notebooks (Final)'!X71</f>
        <v>84</v>
      </c>
      <c r="H71">
        <f>'Total Notebooks (Final)'!Z71+'Total Notebooks (Final)'!AB71+'Total Notebooks (Final)'!AD71+'Total Notebooks (Final)'!AF71+'Total Notebooks (Final)'!AH71+'Total Notebooks (Final)'!AK71</f>
        <v>0</v>
      </c>
      <c r="I71">
        <f>'Total Notebooks (Final)'!AI71+'Total Notebooks (Final)'!AL71</f>
        <v>0</v>
      </c>
      <c r="J71" s="13">
        <f t="shared" si="2"/>
        <v>336</v>
      </c>
    </row>
    <row r="72" spans="1:10" hidden="1" x14ac:dyDescent="0.25">
      <c r="A72" s="1">
        <v>70</v>
      </c>
      <c r="B72" s="10" t="s">
        <v>80</v>
      </c>
      <c r="C72" s="10" t="s">
        <v>144</v>
      </c>
      <c r="D72">
        <f>'Total Notebooks (Final)'!F72+'Total Notebooks (Final)'!K72+'Total Notebooks (Final)'!P72+'Total Notebooks (Final)'!U72</f>
        <v>104</v>
      </c>
      <c r="E72">
        <f>'Total Notebooks (Final)'!G72+'Total Notebooks (Final)'!L72+'Total Notebooks (Final)'!Q72+'Total Notebooks (Final)'!V72</f>
        <v>104</v>
      </c>
      <c r="F72">
        <f>'Total Notebooks (Final)'!H72+'Total Notebooks (Final)'!M72+'Total Notebooks (Final)'!R72+'Total Notebooks (Final)'!W72</f>
        <v>104</v>
      </c>
      <c r="G72">
        <f>'Total Notebooks (Final)'!I72+'Total Notebooks (Final)'!N72+'Total Notebooks (Final)'!S72+'Total Notebooks (Final)'!X72</f>
        <v>104</v>
      </c>
      <c r="H72">
        <f>'Total Notebooks (Final)'!Z72+'Total Notebooks (Final)'!AB72+'Total Notebooks (Final)'!AD72+'Total Notebooks (Final)'!AF72+'Total Notebooks (Final)'!AH72+'Total Notebooks (Final)'!AK72</f>
        <v>1056</v>
      </c>
      <c r="I72">
        <f>'Total Notebooks (Final)'!AI72+'Total Notebooks (Final)'!AL72</f>
        <v>0</v>
      </c>
      <c r="J72" s="13">
        <f t="shared" si="2"/>
        <v>1472</v>
      </c>
    </row>
    <row r="73" spans="1:10" hidden="1" x14ac:dyDescent="0.25">
      <c r="A73" s="52">
        <v>71</v>
      </c>
      <c r="B73" s="10" t="s">
        <v>80</v>
      </c>
      <c r="C73" s="10" t="s">
        <v>145</v>
      </c>
      <c r="D73">
        <f>'Total Notebooks (Final)'!F73+'Total Notebooks (Final)'!K73+'Total Notebooks (Final)'!P73+'Total Notebooks (Final)'!U73</f>
        <v>19</v>
      </c>
      <c r="E73">
        <f>'Total Notebooks (Final)'!G73+'Total Notebooks (Final)'!L73+'Total Notebooks (Final)'!Q73+'Total Notebooks (Final)'!V73</f>
        <v>19</v>
      </c>
      <c r="F73">
        <f>'Total Notebooks (Final)'!H73+'Total Notebooks (Final)'!M73+'Total Notebooks (Final)'!R73+'Total Notebooks (Final)'!W73</f>
        <v>19</v>
      </c>
      <c r="G73">
        <f>'Total Notebooks (Final)'!I73+'Total Notebooks (Final)'!N73+'Total Notebooks (Final)'!S73+'Total Notebooks (Final)'!X73</f>
        <v>19</v>
      </c>
      <c r="H73">
        <f>'Total Notebooks (Final)'!Z73+'Total Notebooks (Final)'!AB73+'Total Notebooks (Final)'!AD73+'Total Notebooks (Final)'!AF73+'Total Notebooks (Final)'!AH73+'Total Notebooks (Final)'!AK73</f>
        <v>1056</v>
      </c>
      <c r="I73">
        <f>'Total Notebooks (Final)'!AI73+'Total Notebooks (Final)'!AL73</f>
        <v>0</v>
      </c>
      <c r="J73" s="13">
        <f t="shared" si="2"/>
        <v>1132</v>
      </c>
    </row>
    <row r="74" spans="1:10" hidden="1" x14ac:dyDescent="0.25">
      <c r="A74" s="1">
        <v>72</v>
      </c>
      <c r="B74" s="10" t="s">
        <v>80</v>
      </c>
      <c r="C74" s="10" t="s">
        <v>147</v>
      </c>
      <c r="D74">
        <f>'Total Notebooks (Final)'!F74+'Total Notebooks (Final)'!K74+'Total Notebooks (Final)'!P74+'Total Notebooks (Final)'!U74</f>
        <v>74</v>
      </c>
      <c r="E74">
        <f>'Total Notebooks (Final)'!G74+'Total Notebooks (Final)'!L74+'Total Notebooks (Final)'!Q74+'Total Notebooks (Final)'!V74</f>
        <v>74</v>
      </c>
      <c r="F74">
        <f>'Total Notebooks (Final)'!H74+'Total Notebooks (Final)'!M74+'Total Notebooks (Final)'!R74+'Total Notebooks (Final)'!W74</f>
        <v>74</v>
      </c>
      <c r="G74">
        <f>'Total Notebooks (Final)'!I74+'Total Notebooks (Final)'!N74+'Total Notebooks (Final)'!S74+'Total Notebooks (Final)'!X74</f>
        <v>74</v>
      </c>
      <c r="H74">
        <f>'Total Notebooks (Final)'!Z74+'Total Notebooks (Final)'!AB74+'Total Notebooks (Final)'!AD74+'Total Notebooks (Final)'!AF74+'Total Notebooks (Final)'!AH74+'Total Notebooks (Final)'!AK74</f>
        <v>1584</v>
      </c>
      <c r="I74">
        <f>'Total Notebooks (Final)'!AI74+'Total Notebooks (Final)'!AL74</f>
        <v>236</v>
      </c>
      <c r="J74" s="13">
        <f t="shared" si="2"/>
        <v>2116</v>
      </c>
    </row>
    <row r="75" spans="1:10" hidden="1" x14ac:dyDescent="0.25">
      <c r="A75" s="52">
        <v>73</v>
      </c>
      <c r="B75" s="10" t="s">
        <v>80</v>
      </c>
      <c r="C75" s="10" t="s">
        <v>148</v>
      </c>
      <c r="D75">
        <f>'Total Notebooks (Final)'!F75+'Total Notebooks (Final)'!K75+'Total Notebooks (Final)'!P75+'Total Notebooks (Final)'!U75</f>
        <v>19</v>
      </c>
      <c r="E75">
        <f>'Total Notebooks (Final)'!G75+'Total Notebooks (Final)'!L75+'Total Notebooks (Final)'!Q75+'Total Notebooks (Final)'!V75</f>
        <v>19</v>
      </c>
      <c r="F75">
        <f>'Total Notebooks (Final)'!H75+'Total Notebooks (Final)'!M75+'Total Notebooks (Final)'!R75+'Total Notebooks (Final)'!W75</f>
        <v>19</v>
      </c>
      <c r="G75">
        <f>'Total Notebooks (Final)'!I75+'Total Notebooks (Final)'!N75+'Total Notebooks (Final)'!S75+'Total Notebooks (Final)'!X75</f>
        <v>19</v>
      </c>
      <c r="H75">
        <f>'Total Notebooks (Final)'!Z75+'Total Notebooks (Final)'!AB75+'Total Notebooks (Final)'!AD75+'Total Notebooks (Final)'!AF75+'Total Notebooks (Final)'!AH75+'Total Notebooks (Final)'!AK75</f>
        <v>936</v>
      </c>
      <c r="I75">
        <f>'Total Notebooks (Final)'!AI75+'Total Notebooks (Final)'!AL75</f>
        <v>0</v>
      </c>
      <c r="J75" s="13">
        <f t="shared" si="2"/>
        <v>1012</v>
      </c>
    </row>
    <row r="76" spans="1:10" hidden="1" x14ac:dyDescent="0.25">
      <c r="A76" s="1">
        <v>74</v>
      </c>
      <c r="B76" s="10" t="s">
        <v>80</v>
      </c>
      <c r="C76" s="10" t="s">
        <v>149</v>
      </c>
      <c r="D76">
        <f>'Total Notebooks (Final)'!F76+'Total Notebooks (Final)'!K76+'Total Notebooks (Final)'!P76+'Total Notebooks (Final)'!U76</f>
        <v>45</v>
      </c>
      <c r="E76">
        <f>'Total Notebooks (Final)'!G76+'Total Notebooks (Final)'!L76+'Total Notebooks (Final)'!Q76+'Total Notebooks (Final)'!V76</f>
        <v>45</v>
      </c>
      <c r="F76">
        <f>'Total Notebooks (Final)'!H76+'Total Notebooks (Final)'!M76+'Total Notebooks (Final)'!R76+'Total Notebooks (Final)'!W76</f>
        <v>45</v>
      </c>
      <c r="G76">
        <f>'Total Notebooks (Final)'!I76+'Total Notebooks (Final)'!N76+'Total Notebooks (Final)'!S76+'Total Notebooks (Final)'!X76</f>
        <v>45</v>
      </c>
      <c r="H76">
        <f>'Total Notebooks (Final)'!Z76+'Total Notebooks (Final)'!AB76+'Total Notebooks (Final)'!AD76+'Total Notebooks (Final)'!AF76+'Total Notebooks (Final)'!AH76+'Total Notebooks (Final)'!AK76</f>
        <v>992</v>
      </c>
      <c r="I76">
        <f>'Total Notebooks (Final)'!AI76+'Total Notebooks (Final)'!AL76</f>
        <v>0</v>
      </c>
      <c r="J76" s="13">
        <f t="shared" si="2"/>
        <v>1172</v>
      </c>
    </row>
    <row r="77" spans="1:10" x14ac:dyDescent="0.25">
      <c r="A77" s="52">
        <v>75</v>
      </c>
      <c r="B77" s="10" t="s">
        <v>71</v>
      </c>
      <c r="C77" s="10" t="s">
        <v>223</v>
      </c>
      <c r="D77">
        <f>'Total Notebooks (Final)'!F77+'Total Notebooks (Final)'!K77+'Total Notebooks (Final)'!P77+'Total Notebooks (Final)'!U77</f>
        <v>27</v>
      </c>
      <c r="E77">
        <f>'Total Notebooks (Final)'!G77+'Total Notebooks (Final)'!L77+'Total Notebooks (Final)'!Q77+'Total Notebooks (Final)'!V77</f>
        <v>27</v>
      </c>
      <c r="F77">
        <f>'Total Notebooks (Final)'!H77+'Total Notebooks (Final)'!M77+'Total Notebooks (Final)'!R77+'Total Notebooks (Final)'!W77</f>
        <v>27</v>
      </c>
      <c r="G77">
        <f>'Total Notebooks (Final)'!I77+'Total Notebooks (Final)'!N77+'Total Notebooks (Final)'!S77+'Total Notebooks (Final)'!X77</f>
        <v>27</v>
      </c>
      <c r="H77">
        <f>'Total Notebooks (Final)'!Z77+'Total Notebooks (Final)'!AB77+'Total Notebooks (Final)'!AD77+'Total Notebooks (Final)'!AF77+'Total Notebooks (Final)'!AH77+'Total Notebooks (Final)'!AK77</f>
        <v>360</v>
      </c>
      <c r="I77">
        <f>'Total Notebooks (Final)'!AI77+'Total Notebooks (Final)'!AL77</f>
        <v>0</v>
      </c>
      <c r="J77" s="13">
        <f t="shared" si="2"/>
        <v>468</v>
      </c>
    </row>
    <row r="78" spans="1:10" hidden="1" x14ac:dyDescent="0.25">
      <c r="A78" s="1">
        <v>76</v>
      </c>
      <c r="B78" s="10" t="s">
        <v>80</v>
      </c>
      <c r="C78" s="10" t="s">
        <v>151</v>
      </c>
      <c r="D78">
        <f>'Total Notebooks (Final)'!F78+'Total Notebooks (Final)'!K78+'Total Notebooks (Final)'!P78+'Total Notebooks (Final)'!U78</f>
        <v>87</v>
      </c>
      <c r="E78">
        <f>'Total Notebooks (Final)'!G78+'Total Notebooks (Final)'!L78+'Total Notebooks (Final)'!Q78+'Total Notebooks (Final)'!V78</f>
        <v>87</v>
      </c>
      <c r="F78">
        <f>'Total Notebooks (Final)'!H78+'Total Notebooks (Final)'!M78+'Total Notebooks (Final)'!R78+'Total Notebooks (Final)'!W78</f>
        <v>87</v>
      </c>
      <c r="G78">
        <f>'Total Notebooks (Final)'!I78+'Total Notebooks (Final)'!N78+'Total Notebooks (Final)'!S78+'Total Notebooks (Final)'!X78</f>
        <v>87</v>
      </c>
      <c r="H78">
        <f>'Total Notebooks (Final)'!Z78+'Total Notebooks (Final)'!AB78+'Total Notebooks (Final)'!AD78+'Total Notebooks (Final)'!AF78+'Total Notebooks (Final)'!AH78+'Total Notebooks (Final)'!AK78</f>
        <v>432</v>
      </c>
      <c r="I78">
        <f>'Total Notebooks (Final)'!AI78+'Total Notebooks (Final)'!AL78</f>
        <v>0</v>
      </c>
      <c r="J78" s="13">
        <f t="shared" si="2"/>
        <v>780</v>
      </c>
    </row>
    <row r="79" spans="1:10" hidden="1" x14ac:dyDescent="0.25">
      <c r="A79" s="52">
        <v>77</v>
      </c>
      <c r="B79" s="10" t="s">
        <v>80</v>
      </c>
      <c r="C79" s="10" t="s">
        <v>154</v>
      </c>
      <c r="D79">
        <f>'Total Notebooks (Final)'!F79+'Total Notebooks (Final)'!K79+'Total Notebooks (Final)'!P79+'Total Notebooks (Final)'!U79</f>
        <v>28</v>
      </c>
      <c r="E79">
        <f>'Total Notebooks (Final)'!G79+'Total Notebooks (Final)'!L79+'Total Notebooks (Final)'!Q79+'Total Notebooks (Final)'!V79</f>
        <v>28</v>
      </c>
      <c r="F79">
        <f>'Total Notebooks (Final)'!H79+'Total Notebooks (Final)'!M79+'Total Notebooks (Final)'!R79+'Total Notebooks (Final)'!W79</f>
        <v>28</v>
      </c>
      <c r="G79">
        <f>'Total Notebooks (Final)'!I79+'Total Notebooks (Final)'!N79+'Total Notebooks (Final)'!S79+'Total Notebooks (Final)'!X79</f>
        <v>28</v>
      </c>
      <c r="H79">
        <f>'Total Notebooks (Final)'!Z79+'Total Notebooks (Final)'!AB79+'Total Notebooks (Final)'!AD79+'Total Notebooks (Final)'!AF79+'Total Notebooks (Final)'!AH79+'Total Notebooks (Final)'!AK79</f>
        <v>72</v>
      </c>
      <c r="I79">
        <f>'Total Notebooks (Final)'!AI79+'Total Notebooks (Final)'!AL79</f>
        <v>0</v>
      </c>
      <c r="J79" s="13">
        <f t="shared" si="2"/>
        <v>184</v>
      </c>
    </row>
    <row r="80" spans="1:10" x14ac:dyDescent="0.25">
      <c r="A80" s="1">
        <v>78</v>
      </c>
      <c r="B80" s="10" t="s">
        <v>71</v>
      </c>
      <c r="C80" s="10"/>
      <c r="D80">
        <f>'Total Notebooks (Final)'!F80+'Total Notebooks (Final)'!K80+'Total Notebooks (Final)'!P80+'Total Notebooks (Final)'!U80</f>
        <v>33</v>
      </c>
      <c r="E80">
        <f>'Total Notebooks (Final)'!G80+'Total Notebooks (Final)'!L80+'Total Notebooks (Final)'!Q80+'Total Notebooks (Final)'!V80</f>
        <v>33</v>
      </c>
      <c r="F80">
        <f>'Total Notebooks (Final)'!H80+'Total Notebooks (Final)'!M80+'Total Notebooks (Final)'!R80+'Total Notebooks (Final)'!W80</f>
        <v>33</v>
      </c>
      <c r="G80">
        <f>'Total Notebooks (Final)'!I80+'Total Notebooks (Final)'!N80+'Total Notebooks (Final)'!S80+'Total Notebooks (Final)'!X80</f>
        <v>33</v>
      </c>
      <c r="H80">
        <f>'Total Notebooks (Final)'!Z80+'Total Notebooks (Final)'!AB80+'Total Notebooks (Final)'!AD80+'Total Notebooks (Final)'!AF80+'Total Notebooks (Final)'!AH80+'Total Notebooks (Final)'!AK80</f>
        <v>384</v>
      </c>
      <c r="I80">
        <f>'Total Notebooks (Final)'!AI80+'Total Notebooks (Final)'!AL80</f>
        <v>0</v>
      </c>
      <c r="J80" s="13">
        <f t="shared" si="2"/>
        <v>516</v>
      </c>
    </row>
    <row r="81" spans="1:10" hidden="1" x14ac:dyDescent="0.25">
      <c r="A81" s="52">
        <v>79</v>
      </c>
      <c r="B81" s="10" t="s">
        <v>80</v>
      </c>
      <c r="C81" s="10" t="s">
        <v>212</v>
      </c>
      <c r="D81">
        <f>'Total Notebooks (Final)'!F81+'Total Notebooks (Final)'!K81+'Total Notebooks (Final)'!P81+'Total Notebooks (Final)'!U81</f>
        <v>174</v>
      </c>
      <c r="E81">
        <f>'Total Notebooks (Final)'!G81+'Total Notebooks (Final)'!L81+'Total Notebooks (Final)'!Q81+'Total Notebooks (Final)'!V81</f>
        <v>174</v>
      </c>
      <c r="F81">
        <f>'Total Notebooks (Final)'!H81+'Total Notebooks (Final)'!M81+'Total Notebooks (Final)'!R81+'Total Notebooks (Final)'!W81</f>
        <v>174</v>
      </c>
      <c r="G81">
        <f>'Total Notebooks (Final)'!I81+'Total Notebooks (Final)'!N81+'Total Notebooks (Final)'!S81+'Total Notebooks (Final)'!X81</f>
        <v>174</v>
      </c>
      <c r="H81">
        <f>'Total Notebooks (Final)'!Z81+'Total Notebooks (Final)'!AB81+'Total Notebooks (Final)'!AD81+'Total Notebooks (Final)'!AF81+'Total Notebooks (Final)'!AH81+'Total Notebooks (Final)'!AK81</f>
        <v>1384</v>
      </c>
      <c r="I81">
        <f>'Total Notebooks (Final)'!AI81+'Total Notebooks (Final)'!AL81</f>
        <v>0</v>
      </c>
      <c r="J81" s="13">
        <f t="shared" si="2"/>
        <v>2080</v>
      </c>
    </row>
    <row r="82" spans="1:10" x14ac:dyDescent="0.25">
      <c r="A82" s="1">
        <v>80</v>
      </c>
      <c r="B82" s="10" t="s">
        <v>71</v>
      </c>
      <c r="C82" s="10" t="s">
        <v>158</v>
      </c>
      <c r="D82">
        <f>'Total Notebooks (Final)'!F82+'Total Notebooks (Final)'!K82+'Total Notebooks (Final)'!P82+'Total Notebooks (Final)'!U82</f>
        <v>54</v>
      </c>
      <c r="E82">
        <f>'Total Notebooks (Final)'!G82+'Total Notebooks (Final)'!L82+'Total Notebooks (Final)'!Q82+'Total Notebooks (Final)'!V82</f>
        <v>54</v>
      </c>
      <c r="F82">
        <f>'Total Notebooks (Final)'!H82+'Total Notebooks (Final)'!M82+'Total Notebooks (Final)'!R82+'Total Notebooks (Final)'!W82</f>
        <v>54</v>
      </c>
      <c r="G82">
        <f>'Total Notebooks (Final)'!I82+'Total Notebooks (Final)'!N82+'Total Notebooks (Final)'!S82+'Total Notebooks (Final)'!X82</f>
        <v>54</v>
      </c>
      <c r="H82">
        <f>'Total Notebooks (Final)'!Z82+'Total Notebooks (Final)'!AB82+'Total Notebooks (Final)'!AD82+'Total Notebooks (Final)'!AF82+'Total Notebooks (Final)'!AH82+'Total Notebooks (Final)'!AK82</f>
        <v>376</v>
      </c>
      <c r="I82">
        <f>'Total Notebooks (Final)'!AI82+'Total Notebooks (Final)'!AL82</f>
        <v>0</v>
      </c>
      <c r="J82" s="13">
        <f t="shared" si="2"/>
        <v>592</v>
      </c>
    </row>
    <row r="83" spans="1:10" hidden="1" x14ac:dyDescent="0.25">
      <c r="A83" s="52">
        <v>81</v>
      </c>
      <c r="B83" s="10" t="s">
        <v>80</v>
      </c>
      <c r="C83" s="10" t="s">
        <v>157</v>
      </c>
      <c r="D83">
        <f>'Total Notebooks (Final)'!F83+'Total Notebooks (Final)'!K83+'Total Notebooks (Final)'!P83+'Total Notebooks (Final)'!U83</f>
        <v>74</v>
      </c>
      <c r="E83">
        <f>'Total Notebooks (Final)'!G83+'Total Notebooks (Final)'!L83+'Total Notebooks (Final)'!Q83+'Total Notebooks (Final)'!V83</f>
        <v>74</v>
      </c>
      <c r="F83">
        <f>'Total Notebooks (Final)'!H83+'Total Notebooks (Final)'!M83+'Total Notebooks (Final)'!R83+'Total Notebooks (Final)'!W83</f>
        <v>74</v>
      </c>
      <c r="G83">
        <f>'Total Notebooks (Final)'!I83+'Total Notebooks (Final)'!N83+'Total Notebooks (Final)'!S83+'Total Notebooks (Final)'!X83</f>
        <v>74</v>
      </c>
      <c r="H83">
        <f>'Total Notebooks (Final)'!Z83+'Total Notebooks (Final)'!AB83+'Total Notebooks (Final)'!AD83+'Total Notebooks (Final)'!AF83+'Total Notebooks (Final)'!AH83+'Total Notebooks (Final)'!AK83</f>
        <v>616</v>
      </c>
      <c r="I83">
        <f>'Total Notebooks (Final)'!AI83+'Total Notebooks (Final)'!AL83</f>
        <v>0</v>
      </c>
      <c r="J83" s="13">
        <f t="shared" si="2"/>
        <v>912</v>
      </c>
    </row>
    <row r="84" spans="1:10" hidden="1" x14ac:dyDescent="0.25">
      <c r="A84" s="1">
        <v>82</v>
      </c>
      <c r="B84" s="10" t="s">
        <v>80</v>
      </c>
      <c r="C84" s="10" t="s">
        <v>159</v>
      </c>
      <c r="D84">
        <f>'Total Notebooks (Final)'!F84+'Total Notebooks (Final)'!K84+'Total Notebooks (Final)'!P84+'Total Notebooks (Final)'!U84</f>
        <v>50</v>
      </c>
      <c r="E84">
        <f>'Total Notebooks (Final)'!G84+'Total Notebooks (Final)'!L84+'Total Notebooks (Final)'!Q84+'Total Notebooks (Final)'!V84</f>
        <v>50</v>
      </c>
      <c r="F84">
        <f>'Total Notebooks (Final)'!H84+'Total Notebooks (Final)'!M84+'Total Notebooks (Final)'!R84+'Total Notebooks (Final)'!W84</f>
        <v>50</v>
      </c>
      <c r="G84">
        <f>'Total Notebooks (Final)'!I84+'Total Notebooks (Final)'!N84+'Total Notebooks (Final)'!S84+'Total Notebooks (Final)'!X84</f>
        <v>50</v>
      </c>
      <c r="H84">
        <f>'Total Notebooks (Final)'!Z84+'Total Notebooks (Final)'!AB84+'Total Notebooks (Final)'!AD84+'Total Notebooks (Final)'!AF84+'Total Notebooks (Final)'!AH84+'Total Notebooks (Final)'!AK84</f>
        <v>440</v>
      </c>
      <c r="I84">
        <f>'Total Notebooks (Final)'!AI84+'Total Notebooks (Final)'!AL84</f>
        <v>0</v>
      </c>
      <c r="J84" s="13">
        <f t="shared" si="2"/>
        <v>640</v>
      </c>
    </row>
    <row r="85" spans="1:10" hidden="1" x14ac:dyDescent="0.25">
      <c r="A85" s="52">
        <v>83</v>
      </c>
      <c r="B85" s="10" t="s">
        <v>80</v>
      </c>
      <c r="C85" s="10" t="s">
        <v>160</v>
      </c>
      <c r="D85">
        <f>'Total Notebooks (Final)'!F85+'Total Notebooks (Final)'!K85+'Total Notebooks (Final)'!P85+'Total Notebooks (Final)'!U85</f>
        <v>44</v>
      </c>
      <c r="E85">
        <f>'Total Notebooks (Final)'!G85+'Total Notebooks (Final)'!L85+'Total Notebooks (Final)'!Q85+'Total Notebooks (Final)'!V85</f>
        <v>44</v>
      </c>
      <c r="F85">
        <f>'Total Notebooks (Final)'!H85+'Total Notebooks (Final)'!M85+'Total Notebooks (Final)'!R85+'Total Notebooks (Final)'!W85</f>
        <v>44</v>
      </c>
      <c r="G85">
        <f>'Total Notebooks (Final)'!I85+'Total Notebooks (Final)'!N85+'Total Notebooks (Final)'!S85+'Total Notebooks (Final)'!X85</f>
        <v>44</v>
      </c>
      <c r="H85">
        <f>'Total Notebooks (Final)'!Z85+'Total Notebooks (Final)'!AB85+'Total Notebooks (Final)'!AD85+'Total Notebooks (Final)'!AF85+'Total Notebooks (Final)'!AH85+'Total Notebooks (Final)'!AK85</f>
        <v>432</v>
      </c>
      <c r="I85">
        <f>'Total Notebooks (Final)'!AI85+'Total Notebooks (Final)'!AL85</f>
        <v>0</v>
      </c>
      <c r="J85" s="13">
        <f t="shared" si="2"/>
        <v>608</v>
      </c>
    </row>
    <row r="86" spans="1:10" hidden="1" x14ac:dyDescent="0.25">
      <c r="A86" s="1">
        <v>84</v>
      </c>
      <c r="B86" s="10" t="s">
        <v>80</v>
      </c>
      <c r="C86" s="10" t="s">
        <v>161</v>
      </c>
      <c r="D86">
        <f>'Total Notebooks (Final)'!F86+'Total Notebooks (Final)'!K86+'Total Notebooks (Final)'!P86+'Total Notebooks (Final)'!U86</f>
        <v>115</v>
      </c>
      <c r="E86">
        <f>'Total Notebooks (Final)'!G86+'Total Notebooks (Final)'!L86+'Total Notebooks (Final)'!Q86+'Total Notebooks (Final)'!V86</f>
        <v>115</v>
      </c>
      <c r="F86">
        <f>'Total Notebooks (Final)'!H86+'Total Notebooks (Final)'!M86+'Total Notebooks (Final)'!R86+'Total Notebooks (Final)'!W86</f>
        <v>115</v>
      </c>
      <c r="G86">
        <f>'Total Notebooks (Final)'!I86+'Total Notebooks (Final)'!N86+'Total Notebooks (Final)'!S86+'Total Notebooks (Final)'!X86</f>
        <v>115</v>
      </c>
      <c r="H86">
        <f>'Total Notebooks (Final)'!Z86+'Total Notebooks (Final)'!AB86+'Total Notebooks (Final)'!AD86+'Total Notebooks (Final)'!AF86+'Total Notebooks (Final)'!AH86+'Total Notebooks (Final)'!AK86</f>
        <v>880</v>
      </c>
      <c r="I86">
        <f>'Total Notebooks (Final)'!AI86+'Total Notebooks (Final)'!AL86</f>
        <v>0</v>
      </c>
      <c r="J86" s="13">
        <f t="shared" si="2"/>
        <v>1340</v>
      </c>
    </row>
    <row r="87" spans="1:10" hidden="1" x14ac:dyDescent="0.25">
      <c r="A87" s="52">
        <v>85</v>
      </c>
      <c r="B87" s="10" t="s">
        <v>80</v>
      </c>
      <c r="C87" s="10" t="s">
        <v>129</v>
      </c>
      <c r="D87">
        <f>'Total Notebooks (Final)'!F87+'Total Notebooks (Final)'!K87+'Total Notebooks (Final)'!P87+'Total Notebooks (Final)'!U87</f>
        <v>133</v>
      </c>
      <c r="E87">
        <f>'Total Notebooks (Final)'!G87+'Total Notebooks (Final)'!L87+'Total Notebooks (Final)'!Q87+'Total Notebooks (Final)'!V87</f>
        <v>133</v>
      </c>
      <c r="F87">
        <f>'Total Notebooks (Final)'!H87+'Total Notebooks (Final)'!M87+'Total Notebooks (Final)'!R87+'Total Notebooks (Final)'!W87</f>
        <v>133</v>
      </c>
      <c r="G87">
        <f>'Total Notebooks (Final)'!I87+'Total Notebooks (Final)'!N87+'Total Notebooks (Final)'!S87+'Total Notebooks (Final)'!X87</f>
        <v>133</v>
      </c>
      <c r="H87">
        <f>'Total Notebooks (Final)'!Z87+'Total Notebooks (Final)'!AB87+'Total Notebooks (Final)'!AD87+'Total Notebooks (Final)'!AF87+'Total Notebooks (Final)'!AH87+'Total Notebooks (Final)'!AK87</f>
        <v>1464</v>
      </c>
      <c r="I87">
        <f>'Total Notebooks (Final)'!AI87+'Total Notebooks (Final)'!AL87</f>
        <v>0</v>
      </c>
      <c r="J87" s="13">
        <f t="shared" si="2"/>
        <v>1996</v>
      </c>
    </row>
    <row r="88" spans="1:10" hidden="1" x14ac:dyDescent="0.25">
      <c r="A88" s="1">
        <v>86</v>
      </c>
      <c r="B88" s="10" t="s">
        <v>80</v>
      </c>
      <c r="C88" s="10" t="s">
        <v>162</v>
      </c>
      <c r="D88">
        <f>'Total Notebooks (Final)'!F88+'Total Notebooks (Final)'!K88+'Total Notebooks (Final)'!P88+'Total Notebooks (Final)'!U88</f>
        <v>141</v>
      </c>
      <c r="E88">
        <f>'Total Notebooks (Final)'!G88+'Total Notebooks (Final)'!L88+'Total Notebooks (Final)'!Q88+'Total Notebooks (Final)'!V88</f>
        <v>141</v>
      </c>
      <c r="F88">
        <f>'Total Notebooks (Final)'!H88+'Total Notebooks (Final)'!M88+'Total Notebooks (Final)'!R88+'Total Notebooks (Final)'!W88</f>
        <v>141</v>
      </c>
      <c r="G88">
        <f>'Total Notebooks (Final)'!I88+'Total Notebooks (Final)'!N88+'Total Notebooks (Final)'!S88+'Total Notebooks (Final)'!X88</f>
        <v>141</v>
      </c>
      <c r="H88">
        <f>'Total Notebooks (Final)'!Z88+'Total Notebooks (Final)'!AB88+'Total Notebooks (Final)'!AD88+'Total Notebooks (Final)'!AF88+'Total Notebooks (Final)'!AH88+'Total Notebooks (Final)'!AK88</f>
        <v>760</v>
      </c>
      <c r="I88">
        <f>'Total Notebooks (Final)'!AI88+'Total Notebooks (Final)'!AL88</f>
        <v>0</v>
      </c>
      <c r="J88" s="13">
        <f t="shared" si="2"/>
        <v>1324</v>
      </c>
    </row>
    <row r="89" spans="1:10" hidden="1" x14ac:dyDescent="0.25">
      <c r="A89" s="52">
        <v>87</v>
      </c>
      <c r="B89" s="10" t="s">
        <v>80</v>
      </c>
      <c r="C89" s="10" t="s">
        <v>165</v>
      </c>
      <c r="D89">
        <f>'Total Notebooks (Final)'!F89+'Total Notebooks (Final)'!K89+'Total Notebooks (Final)'!P89+'Total Notebooks (Final)'!U89</f>
        <v>70</v>
      </c>
      <c r="E89">
        <f>'Total Notebooks (Final)'!G89+'Total Notebooks (Final)'!L89+'Total Notebooks (Final)'!Q89+'Total Notebooks (Final)'!V89</f>
        <v>70</v>
      </c>
      <c r="F89">
        <f>'Total Notebooks (Final)'!H89+'Total Notebooks (Final)'!M89+'Total Notebooks (Final)'!R89+'Total Notebooks (Final)'!W89</f>
        <v>70</v>
      </c>
      <c r="G89">
        <f>'Total Notebooks (Final)'!I89+'Total Notebooks (Final)'!N89+'Total Notebooks (Final)'!S89+'Total Notebooks (Final)'!X89</f>
        <v>70</v>
      </c>
      <c r="H89">
        <f>'Total Notebooks (Final)'!Z89+'Total Notebooks (Final)'!AB89+'Total Notebooks (Final)'!AD89+'Total Notebooks (Final)'!AF89+'Total Notebooks (Final)'!AH89+'Total Notebooks (Final)'!AK89</f>
        <v>584</v>
      </c>
      <c r="I89">
        <f>'Total Notebooks (Final)'!AI89+'Total Notebooks (Final)'!AL89</f>
        <v>0</v>
      </c>
      <c r="J89" s="13">
        <f t="shared" si="2"/>
        <v>864</v>
      </c>
    </row>
    <row r="90" spans="1:10" hidden="1" x14ac:dyDescent="0.25">
      <c r="A90" s="1">
        <v>88</v>
      </c>
      <c r="B90" s="10" t="s">
        <v>80</v>
      </c>
      <c r="C90" s="10" t="s">
        <v>166</v>
      </c>
      <c r="D90">
        <f>'Total Notebooks (Final)'!F90+'Total Notebooks (Final)'!K90+'Total Notebooks (Final)'!P90+'Total Notebooks (Final)'!U90</f>
        <v>111</v>
      </c>
      <c r="E90">
        <f>'Total Notebooks (Final)'!G90+'Total Notebooks (Final)'!L90+'Total Notebooks (Final)'!Q90+'Total Notebooks (Final)'!V90</f>
        <v>111</v>
      </c>
      <c r="F90">
        <f>'Total Notebooks (Final)'!H90+'Total Notebooks (Final)'!M90+'Total Notebooks (Final)'!R90+'Total Notebooks (Final)'!W90</f>
        <v>111</v>
      </c>
      <c r="G90">
        <f>'Total Notebooks (Final)'!I90+'Total Notebooks (Final)'!N90+'Total Notebooks (Final)'!S90+'Total Notebooks (Final)'!X90</f>
        <v>111</v>
      </c>
      <c r="H90">
        <f>'Total Notebooks (Final)'!Z90+'Total Notebooks (Final)'!AB90+'Total Notebooks (Final)'!AD90+'Total Notebooks (Final)'!AF90+'Total Notebooks (Final)'!AH90+'Total Notebooks (Final)'!AK90</f>
        <v>1048</v>
      </c>
      <c r="I90">
        <f>'Total Notebooks (Final)'!AI90+'Total Notebooks (Final)'!AL90</f>
        <v>0</v>
      </c>
      <c r="J90" s="13">
        <f t="shared" si="2"/>
        <v>1492</v>
      </c>
    </row>
    <row r="91" spans="1:10" hidden="1" x14ac:dyDescent="0.25">
      <c r="A91" s="52">
        <v>89</v>
      </c>
      <c r="B91" s="10" t="s">
        <v>80</v>
      </c>
      <c r="C91" s="10" t="s">
        <v>167</v>
      </c>
      <c r="D91">
        <f>'Total Notebooks (Final)'!F91+'Total Notebooks (Final)'!K91+'Total Notebooks (Final)'!P91+'Total Notebooks (Final)'!U91</f>
        <v>0</v>
      </c>
      <c r="E91">
        <f>'Total Notebooks (Final)'!G91+'Total Notebooks (Final)'!L91+'Total Notebooks (Final)'!Q91+'Total Notebooks (Final)'!V91</f>
        <v>0</v>
      </c>
      <c r="F91">
        <f>'Total Notebooks (Final)'!H91+'Total Notebooks (Final)'!M91+'Total Notebooks (Final)'!R91+'Total Notebooks (Final)'!W91</f>
        <v>0</v>
      </c>
      <c r="G91">
        <f>'Total Notebooks (Final)'!I91+'Total Notebooks (Final)'!N91+'Total Notebooks (Final)'!S91+'Total Notebooks (Final)'!X91</f>
        <v>0</v>
      </c>
      <c r="H91">
        <f>'Total Notebooks (Final)'!Z91+'Total Notebooks (Final)'!AB91+'Total Notebooks (Final)'!AD91+'Total Notebooks (Final)'!AF91+'Total Notebooks (Final)'!AH91+'Total Notebooks (Final)'!AK91</f>
        <v>1096</v>
      </c>
      <c r="I91">
        <f>'Total Notebooks (Final)'!AI91+'Total Notebooks (Final)'!AL91</f>
        <v>360</v>
      </c>
      <c r="J91" s="13">
        <f t="shared" si="2"/>
        <v>1456</v>
      </c>
    </row>
    <row r="92" spans="1:10" hidden="1" x14ac:dyDescent="0.25">
      <c r="A92" s="1">
        <v>90</v>
      </c>
      <c r="B92" s="10" t="s">
        <v>80</v>
      </c>
      <c r="C92" s="10" t="s">
        <v>168</v>
      </c>
      <c r="D92">
        <f>'Total Notebooks (Final)'!F92+'Total Notebooks (Final)'!K92+'Total Notebooks (Final)'!P92+'Total Notebooks (Final)'!U92</f>
        <v>32</v>
      </c>
      <c r="E92">
        <f>'Total Notebooks (Final)'!G92+'Total Notebooks (Final)'!L92+'Total Notebooks (Final)'!Q92+'Total Notebooks (Final)'!V92</f>
        <v>32</v>
      </c>
      <c r="F92">
        <f>'Total Notebooks (Final)'!H92+'Total Notebooks (Final)'!M92+'Total Notebooks (Final)'!R92+'Total Notebooks (Final)'!W92</f>
        <v>32</v>
      </c>
      <c r="G92">
        <f>'Total Notebooks (Final)'!I92+'Total Notebooks (Final)'!N92+'Total Notebooks (Final)'!S92+'Total Notebooks (Final)'!X92</f>
        <v>32</v>
      </c>
      <c r="H92">
        <f>'Total Notebooks (Final)'!Z92+'Total Notebooks (Final)'!AB92+'Total Notebooks (Final)'!AD92+'Total Notebooks (Final)'!AF92+'Total Notebooks (Final)'!AH92+'Total Notebooks (Final)'!AK92</f>
        <v>200</v>
      </c>
      <c r="I92">
        <f>'Total Notebooks (Final)'!AI92+'Total Notebooks (Final)'!AL92</f>
        <v>0</v>
      </c>
      <c r="J92" s="13">
        <f t="shared" si="2"/>
        <v>328</v>
      </c>
    </row>
    <row r="93" spans="1:10" hidden="1" x14ac:dyDescent="0.25">
      <c r="A93" s="52">
        <v>91</v>
      </c>
      <c r="B93" s="10" t="s">
        <v>80</v>
      </c>
      <c r="C93" s="10" t="s">
        <v>170</v>
      </c>
      <c r="D93">
        <f>'Total Notebooks (Final)'!F93+'Total Notebooks (Final)'!K93+'Total Notebooks (Final)'!P93+'Total Notebooks (Final)'!U93</f>
        <v>45</v>
      </c>
      <c r="E93">
        <f>'Total Notebooks (Final)'!G93+'Total Notebooks (Final)'!L93+'Total Notebooks (Final)'!Q93+'Total Notebooks (Final)'!V93</f>
        <v>45</v>
      </c>
      <c r="F93">
        <f>'Total Notebooks (Final)'!H93+'Total Notebooks (Final)'!M93+'Total Notebooks (Final)'!R93+'Total Notebooks (Final)'!W93</f>
        <v>45</v>
      </c>
      <c r="G93">
        <f>'Total Notebooks (Final)'!I93+'Total Notebooks (Final)'!N93+'Total Notebooks (Final)'!S93+'Total Notebooks (Final)'!X93</f>
        <v>45</v>
      </c>
      <c r="H93">
        <f>'Total Notebooks (Final)'!Z93+'Total Notebooks (Final)'!AB93+'Total Notebooks (Final)'!AD93+'Total Notebooks (Final)'!AF93+'Total Notebooks (Final)'!AH93+'Total Notebooks (Final)'!AK93</f>
        <v>320</v>
      </c>
      <c r="I93">
        <f>'Total Notebooks (Final)'!AI93+'Total Notebooks (Final)'!AL93</f>
        <v>0</v>
      </c>
      <c r="J93" s="13">
        <f t="shared" si="2"/>
        <v>500</v>
      </c>
    </row>
    <row r="94" spans="1:10" hidden="1" x14ac:dyDescent="0.25">
      <c r="A94" s="1">
        <v>92</v>
      </c>
      <c r="B94" s="10" t="s">
        <v>80</v>
      </c>
      <c r="C94" s="10" t="s">
        <v>169</v>
      </c>
      <c r="D94">
        <f>'Total Notebooks (Final)'!F94+'Total Notebooks (Final)'!K94+'Total Notebooks (Final)'!P94+'Total Notebooks (Final)'!U94</f>
        <v>45</v>
      </c>
      <c r="E94">
        <f>'Total Notebooks (Final)'!G94+'Total Notebooks (Final)'!L94+'Total Notebooks (Final)'!Q94+'Total Notebooks (Final)'!V94</f>
        <v>45</v>
      </c>
      <c r="F94">
        <f>'Total Notebooks (Final)'!H94+'Total Notebooks (Final)'!M94+'Total Notebooks (Final)'!R94+'Total Notebooks (Final)'!W94</f>
        <v>45</v>
      </c>
      <c r="G94">
        <f>'Total Notebooks (Final)'!I94+'Total Notebooks (Final)'!N94+'Total Notebooks (Final)'!S94+'Total Notebooks (Final)'!X94</f>
        <v>45</v>
      </c>
      <c r="H94">
        <f>'Total Notebooks (Final)'!Z94+'Total Notebooks (Final)'!AB94+'Total Notebooks (Final)'!AD94+'Total Notebooks (Final)'!AF94+'Total Notebooks (Final)'!AH94+'Total Notebooks (Final)'!AK94</f>
        <v>432</v>
      </c>
      <c r="I94">
        <f>'Total Notebooks (Final)'!AI94+'Total Notebooks (Final)'!AL94</f>
        <v>0</v>
      </c>
      <c r="J94" s="13">
        <f t="shared" si="2"/>
        <v>612</v>
      </c>
    </row>
    <row r="95" spans="1:10" hidden="1" x14ac:dyDescent="0.25">
      <c r="A95" s="52">
        <v>93</v>
      </c>
      <c r="B95" s="10" t="s">
        <v>80</v>
      </c>
      <c r="C95" s="10" t="s">
        <v>171</v>
      </c>
      <c r="D95">
        <f>'Total Notebooks (Final)'!F95+'Total Notebooks (Final)'!K95+'Total Notebooks (Final)'!P95+'Total Notebooks (Final)'!U95</f>
        <v>25</v>
      </c>
      <c r="E95">
        <f>'Total Notebooks (Final)'!G95+'Total Notebooks (Final)'!L95+'Total Notebooks (Final)'!Q95+'Total Notebooks (Final)'!V95</f>
        <v>25</v>
      </c>
      <c r="F95">
        <f>'Total Notebooks (Final)'!H95+'Total Notebooks (Final)'!M95+'Total Notebooks (Final)'!R95+'Total Notebooks (Final)'!W95</f>
        <v>25</v>
      </c>
      <c r="G95">
        <f>'Total Notebooks (Final)'!I95+'Total Notebooks (Final)'!N95+'Total Notebooks (Final)'!S95+'Total Notebooks (Final)'!X95</f>
        <v>25</v>
      </c>
      <c r="H95">
        <f>'Total Notebooks (Final)'!Z95+'Total Notebooks (Final)'!AB95+'Total Notebooks (Final)'!AD95+'Total Notebooks (Final)'!AF95+'Total Notebooks (Final)'!AH95+'Total Notebooks (Final)'!AK95</f>
        <v>96</v>
      </c>
      <c r="I95">
        <f>'Total Notebooks (Final)'!AI95+'Total Notebooks (Final)'!AL95</f>
        <v>0</v>
      </c>
      <c r="J95" s="13">
        <f t="shared" si="2"/>
        <v>196</v>
      </c>
    </row>
    <row r="96" spans="1:10" hidden="1" x14ac:dyDescent="0.25">
      <c r="A96" s="1">
        <v>94</v>
      </c>
      <c r="B96" s="10" t="s">
        <v>80</v>
      </c>
      <c r="C96" s="10" t="s">
        <v>172</v>
      </c>
      <c r="D96">
        <f>'Total Notebooks (Final)'!F96+'Total Notebooks (Final)'!K96+'Total Notebooks (Final)'!P96+'Total Notebooks (Final)'!U96</f>
        <v>85</v>
      </c>
      <c r="E96">
        <f>'Total Notebooks (Final)'!G96+'Total Notebooks (Final)'!L96+'Total Notebooks (Final)'!Q96+'Total Notebooks (Final)'!V96</f>
        <v>85</v>
      </c>
      <c r="F96">
        <f>'Total Notebooks (Final)'!H96+'Total Notebooks (Final)'!M96+'Total Notebooks (Final)'!R96+'Total Notebooks (Final)'!W96</f>
        <v>85</v>
      </c>
      <c r="G96">
        <f>'Total Notebooks (Final)'!I96+'Total Notebooks (Final)'!N96+'Total Notebooks (Final)'!S96+'Total Notebooks (Final)'!X96</f>
        <v>85</v>
      </c>
      <c r="H96">
        <f>'Total Notebooks (Final)'!Z96+'Total Notebooks (Final)'!AB96+'Total Notebooks (Final)'!AD96+'Total Notebooks (Final)'!AF96+'Total Notebooks (Final)'!AH96+'Total Notebooks (Final)'!AK96</f>
        <v>912</v>
      </c>
      <c r="I96">
        <f>'Total Notebooks (Final)'!AI96+'Total Notebooks (Final)'!AL96</f>
        <v>0</v>
      </c>
      <c r="J96" s="13">
        <f t="shared" si="2"/>
        <v>1252</v>
      </c>
    </row>
    <row r="97" spans="1:10" hidden="1" x14ac:dyDescent="0.25">
      <c r="A97" s="52">
        <v>95</v>
      </c>
      <c r="B97" s="10" t="s">
        <v>80</v>
      </c>
      <c r="C97" s="10" t="s">
        <v>227</v>
      </c>
      <c r="D97">
        <f>'Total Notebooks (Final)'!F97+'Total Notebooks (Final)'!K97+'Total Notebooks (Final)'!P97+'Total Notebooks (Final)'!U97</f>
        <v>0</v>
      </c>
      <c r="E97">
        <f>'Total Notebooks (Final)'!G97+'Total Notebooks (Final)'!L97+'Total Notebooks (Final)'!Q97+'Total Notebooks (Final)'!V97</f>
        <v>0</v>
      </c>
      <c r="F97">
        <f>'Total Notebooks (Final)'!H97+'Total Notebooks (Final)'!M97+'Total Notebooks (Final)'!R97+'Total Notebooks (Final)'!W97</f>
        <v>0</v>
      </c>
      <c r="G97">
        <f>'Total Notebooks (Final)'!I97+'Total Notebooks (Final)'!N97+'Total Notebooks (Final)'!S97+'Total Notebooks (Final)'!X97</f>
        <v>0</v>
      </c>
      <c r="H97">
        <f>'Total Notebooks (Final)'!Z97+'Total Notebooks (Final)'!AB97+'Total Notebooks (Final)'!AD97+'Total Notebooks (Final)'!AF97+'Total Notebooks (Final)'!AH97+'Total Notebooks (Final)'!AK97</f>
        <v>2344</v>
      </c>
      <c r="I97">
        <f>'Total Notebooks (Final)'!AI97+'Total Notebooks (Final)'!AL97</f>
        <v>952</v>
      </c>
      <c r="J97" s="13">
        <f t="shared" si="2"/>
        <v>3296</v>
      </c>
    </row>
    <row r="98" spans="1:10" hidden="1" x14ac:dyDescent="0.25">
      <c r="A98" s="1">
        <v>96</v>
      </c>
      <c r="B98" s="10" t="s">
        <v>80</v>
      </c>
      <c r="C98" s="10" t="s">
        <v>173</v>
      </c>
      <c r="D98">
        <f>'Total Notebooks (Final)'!F98+'Total Notebooks (Final)'!K98+'Total Notebooks (Final)'!P98+'Total Notebooks (Final)'!U98</f>
        <v>103</v>
      </c>
      <c r="E98">
        <f>'Total Notebooks (Final)'!G98+'Total Notebooks (Final)'!L98+'Total Notebooks (Final)'!Q98+'Total Notebooks (Final)'!V98</f>
        <v>103</v>
      </c>
      <c r="F98">
        <f>'Total Notebooks (Final)'!H98+'Total Notebooks (Final)'!M98+'Total Notebooks (Final)'!R98+'Total Notebooks (Final)'!W98</f>
        <v>103</v>
      </c>
      <c r="G98">
        <f>'Total Notebooks (Final)'!I98+'Total Notebooks (Final)'!N98+'Total Notebooks (Final)'!S98+'Total Notebooks (Final)'!X98</f>
        <v>103</v>
      </c>
      <c r="H98">
        <f>'Total Notebooks (Final)'!Z98+'Total Notebooks (Final)'!AB98+'Total Notebooks (Final)'!AD98+'Total Notebooks (Final)'!AF98+'Total Notebooks (Final)'!AH98+'Total Notebooks (Final)'!AK98</f>
        <v>824</v>
      </c>
      <c r="I98">
        <f>'Total Notebooks (Final)'!AI98+'Total Notebooks (Final)'!AL98</f>
        <v>0</v>
      </c>
      <c r="J98" s="13">
        <f t="shared" si="2"/>
        <v>1236</v>
      </c>
    </row>
    <row r="99" spans="1:10" hidden="1" x14ac:dyDescent="0.25">
      <c r="A99" s="52">
        <v>97</v>
      </c>
      <c r="B99" s="10" t="s">
        <v>80</v>
      </c>
      <c r="C99" s="10" t="s">
        <v>174</v>
      </c>
      <c r="D99">
        <f>'Total Notebooks (Final)'!F99+'Total Notebooks (Final)'!K99+'Total Notebooks (Final)'!P99+'Total Notebooks (Final)'!U99</f>
        <v>24</v>
      </c>
      <c r="E99">
        <f>'Total Notebooks (Final)'!G99+'Total Notebooks (Final)'!L99+'Total Notebooks (Final)'!Q99+'Total Notebooks (Final)'!V99</f>
        <v>24</v>
      </c>
      <c r="F99">
        <f>'Total Notebooks (Final)'!H99+'Total Notebooks (Final)'!M99+'Total Notebooks (Final)'!R99+'Total Notebooks (Final)'!W99</f>
        <v>24</v>
      </c>
      <c r="G99">
        <f>'Total Notebooks (Final)'!I99+'Total Notebooks (Final)'!N99+'Total Notebooks (Final)'!S99+'Total Notebooks (Final)'!X99</f>
        <v>24</v>
      </c>
      <c r="H99">
        <f>'Total Notebooks (Final)'!Z99+'Total Notebooks (Final)'!AB99+'Total Notebooks (Final)'!AD99+'Total Notebooks (Final)'!AF99+'Total Notebooks (Final)'!AH99+'Total Notebooks (Final)'!AK99</f>
        <v>144</v>
      </c>
      <c r="I99">
        <f>'Total Notebooks (Final)'!AI99+'Total Notebooks (Final)'!AL99</f>
        <v>0</v>
      </c>
      <c r="J99" s="13">
        <f t="shared" si="2"/>
        <v>240</v>
      </c>
    </row>
    <row r="100" spans="1:10" hidden="1" x14ac:dyDescent="0.25">
      <c r="A100" s="1">
        <v>98</v>
      </c>
      <c r="B100" s="10" t="s">
        <v>80</v>
      </c>
      <c r="C100" s="10" t="s">
        <v>204</v>
      </c>
      <c r="D100">
        <f>'Total Notebooks (Final)'!F100+'Total Notebooks (Final)'!K100+'Total Notebooks (Final)'!P100+'Total Notebooks (Final)'!U100</f>
        <v>0</v>
      </c>
      <c r="E100">
        <f>'Total Notebooks (Final)'!G100+'Total Notebooks (Final)'!L100+'Total Notebooks (Final)'!Q100+'Total Notebooks (Final)'!V100</f>
        <v>0</v>
      </c>
      <c r="F100">
        <f>'Total Notebooks (Final)'!H100+'Total Notebooks (Final)'!M100+'Total Notebooks (Final)'!R100+'Total Notebooks (Final)'!W100</f>
        <v>0</v>
      </c>
    </row>
    <row r="101" spans="1:10" x14ac:dyDescent="0.25">
      <c r="A101" s="52">
        <v>99</v>
      </c>
      <c r="B101" s="21" t="s">
        <v>71</v>
      </c>
      <c r="C101" s="10" t="s">
        <v>214</v>
      </c>
      <c r="D101">
        <f>'Total Notebooks (Final)'!F101+'Total Notebooks (Final)'!K101+'Total Notebooks (Final)'!P101+'Total Notebooks (Final)'!U101</f>
        <v>174</v>
      </c>
      <c r="E101">
        <f>'Total Notebooks (Final)'!G101+'Total Notebooks (Final)'!L101+'Total Notebooks (Final)'!Q101+'Total Notebooks (Final)'!V101</f>
        <v>174</v>
      </c>
      <c r="F101">
        <f>'Total Notebooks (Final)'!H101+'Total Notebooks (Final)'!M101+'Total Notebooks (Final)'!R101+'Total Notebooks (Final)'!W101</f>
        <v>174</v>
      </c>
    </row>
    <row r="102" spans="1:10" x14ac:dyDescent="0.25">
      <c r="A102" s="1">
        <v>100</v>
      </c>
      <c r="B102" s="21" t="s">
        <v>71</v>
      </c>
      <c r="C102" s="10" t="s">
        <v>215</v>
      </c>
      <c r="D102">
        <f>'Total Notebooks (Final)'!F102+'Total Notebooks (Final)'!K102+'Total Notebooks (Final)'!P102+'Total Notebooks (Final)'!U102</f>
        <v>107</v>
      </c>
      <c r="E102">
        <f>'Total Notebooks (Final)'!G102+'Total Notebooks (Final)'!L102+'Total Notebooks (Final)'!Q102+'Total Notebooks (Final)'!V102</f>
        <v>107</v>
      </c>
      <c r="F102">
        <f>'Total Notebooks (Final)'!H102+'Total Notebooks (Final)'!M102+'Total Notebooks (Final)'!R102+'Total Notebooks (Final)'!W102</f>
        <v>107</v>
      </c>
    </row>
    <row r="103" spans="1:10" x14ac:dyDescent="0.25">
      <c r="A103" s="52">
        <v>101</v>
      </c>
      <c r="B103" s="21" t="s">
        <v>71</v>
      </c>
      <c r="C103" s="10" t="s">
        <v>216</v>
      </c>
      <c r="D103">
        <f>'Total Notebooks (Final)'!F103+'Total Notebooks (Final)'!K103+'Total Notebooks (Final)'!P103+'Total Notebooks (Final)'!U103</f>
        <v>253</v>
      </c>
      <c r="E103">
        <f>'Total Notebooks (Final)'!G103+'Total Notebooks (Final)'!L103+'Total Notebooks (Final)'!Q103+'Total Notebooks (Final)'!V103</f>
        <v>253</v>
      </c>
      <c r="F103">
        <f>'Total Notebooks (Final)'!H103+'Total Notebooks (Final)'!M103+'Total Notebooks (Final)'!R103+'Total Notebooks (Final)'!W103</f>
        <v>253</v>
      </c>
    </row>
    <row r="104" spans="1:10" x14ac:dyDescent="0.25">
      <c r="A104" s="1">
        <v>102</v>
      </c>
      <c r="B104" s="21" t="s">
        <v>71</v>
      </c>
      <c r="C104" s="10" t="s">
        <v>225</v>
      </c>
      <c r="D104">
        <f>'Total Notebooks (Final)'!F104+'Total Notebooks (Final)'!K104+'Total Notebooks (Final)'!P104+'Total Notebooks (Final)'!U104</f>
        <v>77</v>
      </c>
      <c r="E104">
        <f>'Total Notebooks (Final)'!G104+'Total Notebooks (Final)'!L104+'Total Notebooks (Final)'!Q104+'Total Notebooks (Final)'!V104</f>
        <v>77</v>
      </c>
      <c r="F104">
        <f>'Total Notebooks (Final)'!H104+'Total Notebooks (Final)'!M104+'Total Notebooks (Final)'!R104+'Total Notebooks (Final)'!W104</f>
        <v>77</v>
      </c>
    </row>
    <row r="105" spans="1:10" x14ac:dyDescent="0.25">
      <c r="A105" s="52">
        <v>103</v>
      </c>
      <c r="B105" s="21" t="s">
        <v>71</v>
      </c>
      <c r="C105" s="10" t="s">
        <v>220</v>
      </c>
      <c r="D105">
        <f>'Total Notebooks (Final)'!F105+'Total Notebooks (Final)'!K105+'Total Notebooks (Final)'!P105+'Total Notebooks (Final)'!U105</f>
        <v>0</v>
      </c>
      <c r="E105">
        <f>'Total Notebooks (Final)'!G105+'Total Notebooks (Final)'!L105+'Total Notebooks (Final)'!Q105+'Total Notebooks (Final)'!V105</f>
        <v>0</v>
      </c>
      <c r="F105">
        <f>'Total Notebooks (Final)'!H105+'Total Notebooks (Final)'!M105+'Total Notebooks (Final)'!R105+'Total Notebooks (Final)'!W105</f>
        <v>0</v>
      </c>
    </row>
    <row r="106" spans="1:10" x14ac:dyDescent="0.25">
      <c r="A106" s="52"/>
      <c r="C106" s="36"/>
    </row>
    <row r="107" spans="1:10" x14ac:dyDescent="0.25">
      <c r="C107" s="33" t="s">
        <v>83</v>
      </c>
      <c r="D107">
        <f t="shared" ref="D107:I107" si="3">SUM(D8,D11,D12,D16,D19,D20,D23,D25,D28,D30,D34,D35,D36,D37,D38,D39,D40,D41:D47)</f>
        <v>1478</v>
      </c>
      <c r="E107">
        <f t="shared" si="3"/>
        <v>1478</v>
      </c>
      <c r="F107">
        <f t="shared" si="3"/>
        <v>1478</v>
      </c>
      <c r="G107">
        <f t="shared" si="3"/>
        <v>1478</v>
      </c>
      <c r="H107">
        <f t="shared" si="3"/>
        <v>15744</v>
      </c>
      <c r="I107">
        <f t="shared" si="3"/>
        <v>1800</v>
      </c>
      <c r="J107">
        <f>SUM(J3:J47)</f>
        <v>52312</v>
      </c>
    </row>
    <row r="108" spans="1:10" x14ac:dyDescent="0.25">
      <c r="C108" s="33" t="s">
        <v>85</v>
      </c>
      <c r="D108">
        <v>2474</v>
      </c>
      <c r="E108">
        <v>4214</v>
      </c>
      <c r="F108">
        <v>2172</v>
      </c>
      <c r="G108">
        <v>3313</v>
      </c>
      <c r="H108">
        <v>5923</v>
      </c>
      <c r="I108">
        <v>2789</v>
      </c>
    </row>
    <row r="109" spans="1:10" x14ac:dyDescent="0.25">
      <c r="C109" s="33" t="s">
        <v>84</v>
      </c>
      <c r="D109">
        <f t="shared" ref="D109:I109" si="4">D108-D107</f>
        <v>996</v>
      </c>
      <c r="E109">
        <f t="shared" si="4"/>
        <v>2736</v>
      </c>
      <c r="F109">
        <f t="shared" si="4"/>
        <v>694</v>
      </c>
      <c r="G109">
        <f t="shared" si="4"/>
        <v>1835</v>
      </c>
      <c r="H109">
        <f t="shared" si="4"/>
        <v>-9821</v>
      </c>
      <c r="I109">
        <f t="shared" si="4"/>
        <v>989</v>
      </c>
    </row>
    <row r="112" spans="1:10" x14ac:dyDescent="0.25">
      <c r="C112"/>
      <c r="D112" t="s">
        <v>25</v>
      </c>
      <c r="E112" t="s">
        <v>89</v>
      </c>
      <c r="F112" t="s">
        <v>90</v>
      </c>
      <c r="G112" t="s">
        <v>21</v>
      </c>
      <c r="H112" t="s">
        <v>91</v>
      </c>
      <c r="I112" t="s">
        <v>92</v>
      </c>
    </row>
    <row r="113" spans="3:10" x14ac:dyDescent="0.25">
      <c r="C113"/>
    </row>
    <row r="114" spans="3:10" x14ac:dyDescent="0.25">
      <c r="C114" t="s">
        <v>93</v>
      </c>
      <c r="D114">
        <v>1649</v>
      </c>
      <c r="E114">
        <v>1100</v>
      </c>
      <c r="F114">
        <v>2290</v>
      </c>
      <c r="G114">
        <v>1100</v>
      </c>
      <c r="H114">
        <v>8822</v>
      </c>
      <c r="I114">
        <v>1008</v>
      </c>
    </row>
    <row r="115" spans="3:10" x14ac:dyDescent="0.25">
      <c r="C115" t="s">
        <v>93</v>
      </c>
      <c r="D115">
        <v>262</v>
      </c>
      <c r="E115">
        <v>171</v>
      </c>
      <c r="F115">
        <v>365</v>
      </c>
      <c r="G115">
        <v>171</v>
      </c>
      <c r="H115">
        <v>2094</v>
      </c>
      <c r="I115">
        <v>400</v>
      </c>
    </row>
    <row r="116" spans="3:10" x14ac:dyDescent="0.25">
      <c r="C116" t="s">
        <v>76</v>
      </c>
      <c r="D116">
        <v>182</v>
      </c>
      <c r="E116">
        <v>126</v>
      </c>
      <c r="F116">
        <v>226</v>
      </c>
      <c r="G116">
        <v>126</v>
      </c>
      <c r="H116">
        <v>1286</v>
      </c>
      <c r="I116">
        <v>372</v>
      </c>
    </row>
    <row r="117" spans="3:10" x14ac:dyDescent="0.25">
      <c r="C117"/>
      <c r="F117">
        <v>356</v>
      </c>
    </row>
    <row r="118" spans="3:10" x14ac:dyDescent="0.25">
      <c r="C118" t="s">
        <v>36</v>
      </c>
      <c r="D118">
        <f>SUM(D114:D116)</f>
        <v>2093</v>
      </c>
      <c r="E118">
        <f t="shared" ref="E118:I118" si="5">SUM(E114:E116)</f>
        <v>1397</v>
      </c>
      <c r="F118">
        <f>SUM(F114:F117)</f>
        <v>3237</v>
      </c>
      <c r="G118">
        <f t="shared" si="5"/>
        <v>1397</v>
      </c>
      <c r="H118">
        <f t="shared" si="5"/>
        <v>12202</v>
      </c>
      <c r="I118">
        <f t="shared" si="5"/>
        <v>1780</v>
      </c>
    </row>
    <row r="119" spans="3:10" x14ac:dyDescent="0.25">
      <c r="C119" t="s">
        <v>85</v>
      </c>
      <c r="D119">
        <v>1315</v>
      </c>
      <c r="E119">
        <v>3330</v>
      </c>
      <c r="F119">
        <v>159</v>
      </c>
      <c r="G119">
        <v>2385</v>
      </c>
      <c r="I119">
        <v>2025</v>
      </c>
    </row>
    <row r="120" spans="3:10" x14ac:dyDescent="0.25">
      <c r="C120" t="s">
        <v>94</v>
      </c>
      <c r="D120">
        <f>D118-D119</f>
        <v>778</v>
      </c>
      <c r="E120">
        <f t="shared" ref="E120:I120" si="6">E118-E119</f>
        <v>-1933</v>
      </c>
      <c r="F120">
        <f t="shared" si="6"/>
        <v>3078</v>
      </c>
      <c r="G120">
        <f t="shared" si="6"/>
        <v>-988</v>
      </c>
      <c r="H120">
        <f t="shared" si="6"/>
        <v>12202</v>
      </c>
      <c r="I120">
        <f t="shared" si="6"/>
        <v>-245</v>
      </c>
      <c r="J120">
        <f>SUM(D120:I120)</f>
        <v>12892</v>
      </c>
    </row>
    <row r="121" spans="3:10" x14ac:dyDescent="0.25">
      <c r="C121"/>
      <c r="D121">
        <f>D120*12</f>
        <v>9336</v>
      </c>
      <c r="F121">
        <f>F120*12</f>
        <v>36936</v>
      </c>
    </row>
    <row r="122" spans="3:10" x14ac:dyDescent="0.25">
      <c r="C122"/>
    </row>
    <row r="123" spans="3:10" x14ac:dyDescent="0.25">
      <c r="C123" t="s">
        <v>95</v>
      </c>
      <c r="E123">
        <v>5459</v>
      </c>
      <c r="F123">
        <v>4866</v>
      </c>
      <c r="G123">
        <v>4668</v>
      </c>
      <c r="H123">
        <v>20030</v>
      </c>
      <c r="I123">
        <v>5040</v>
      </c>
    </row>
    <row r="124" spans="3:10" x14ac:dyDescent="0.25">
      <c r="C124" t="s">
        <v>96</v>
      </c>
      <c r="D124">
        <v>5090</v>
      </c>
      <c r="E124">
        <v>5459</v>
      </c>
      <c r="F124">
        <v>4866</v>
      </c>
      <c r="G124">
        <v>4668</v>
      </c>
      <c r="H124">
        <v>20864</v>
      </c>
      <c r="I124">
        <v>5040</v>
      </c>
      <c r="J124">
        <f>SUM(D124:I124)</f>
        <v>45987</v>
      </c>
    </row>
    <row r="125" spans="3:10" x14ac:dyDescent="0.25">
      <c r="C125" t="s">
        <v>85</v>
      </c>
      <c r="D125">
        <v>1315</v>
      </c>
      <c r="E125">
        <v>3330</v>
      </c>
      <c r="F125">
        <v>159</v>
      </c>
      <c r="G125">
        <v>2385</v>
      </c>
      <c r="I125">
        <v>2025</v>
      </c>
      <c r="J125">
        <f>SUM(D125:I125)</f>
        <v>9214</v>
      </c>
    </row>
    <row r="126" spans="3:10" x14ac:dyDescent="0.25">
      <c r="C126" t="s">
        <v>97</v>
      </c>
      <c r="D126">
        <v>2938</v>
      </c>
      <c r="E126">
        <v>1896</v>
      </c>
      <c r="F126">
        <v>4198</v>
      </c>
      <c r="G126">
        <v>1896</v>
      </c>
      <c r="H126">
        <v>20892</v>
      </c>
      <c r="I126">
        <v>3656</v>
      </c>
      <c r="J126">
        <f>SUM(D126:I126)</f>
        <v>35476</v>
      </c>
    </row>
    <row r="127" spans="3:10" x14ac:dyDescent="0.25">
      <c r="C127" t="s">
        <v>98</v>
      </c>
      <c r="D127">
        <f>SUM(D125:D126)</f>
        <v>4253</v>
      </c>
      <c r="E127">
        <f t="shared" ref="E127:I127" si="7">SUM(E125:E126)</f>
        <v>5226</v>
      </c>
      <c r="F127">
        <f t="shared" si="7"/>
        <v>4357</v>
      </c>
      <c r="G127">
        <f t="shared" si="7"/>
        <v>4281</v>
      </c>
      <c r="H127">
        <f t="shared" si="7"/>
        <v>20892</v>
      </c>
      <c r="I127">
        <f t="shared" si="7"/>
        <v>5681</v>
      </c>
    </row>
    <row r="128" spans="3:10" x14ac:dyDescent="0.25">
      <c r="C128" t="s">
        <v>77</v>
      </c>
      <c r="D128">
        <f>D124-D127</f>
        <v>837</v>
      </c>
      <c r="E128">
        <f t="shared" ref="E128:I128" si="8">E124-E127</f>
        <v>233</v>
      </c>
      <c r="F128">
        <f t="shared" si="8"/>
        <v>509</v>
      </c>
      <c r="G128">
        <f t="shared" si="8"/>
        <v>387</v>
      </c>
      <c r="H128">
        <f t="shared" si="8"/>
        <v>-28</v>
      </c>
      <c r="I128">
        <f t="shared" si="8"/>
        <v>-641</v>
      </c>
    </row>
    <row r="129" spans="2:10" x14ac:dyDescent="0.25">
      <c r="B129" s="33"/>
      <c r="C129"/>
    </row>
    <row r="130" spans="2:10" x14ac:dyDescent="0.25">
      <c r="B130" s="33"/>
      <c r="C130" t="s">
        <v>36</v>
      </c>
      <c r="D130">
        <v>2093</v>
      </c>
      <c r="E130">
        <v>1397</v>
      </c>
      <c r="F130">
        <v>3237</v>
      </c>
      <c r="G130">
        <v>1397</v>
      </c>
      <c r="H130">
        <v>12202</v>
      </c>
      <c r="I130">
        <v>1780</v>
      </c>
    </row>
    <row r="131" spans="2:10" x14ac:dyDescent="0.25">
      <c r="B131" s="34" t="s">
        <v>99</v>
      </c>
      <c r="C131"/>
      <c r="D131" s="21">
        <v>2724</v>
      </c>
      <c r="E131" s="21">
        <v>1760</v>
      </c>
      <c r="F131" s="21">
        <v>3926</v>
      </c>
      <c r="G131" s="21">
        <v>1760</v>
      </c>
      <c r="H131" s="21">
        <v>18000</v>
      </c>
      <c r="I131" s="21">
        <v>2904</v>
      </c>
      <c r="J131">
        <f>SUM(D131:I131)</f>
        <v>31074</v>
      </c>
    </row>
    <row r="132" spans="2:10" x14ac:dyDescent="0.25">
      <c r="C132" s="33" t="s">
        <v>85</v>
      </c>
      <c r="D132">
        <v>1315</v>
      </c>
      <c r="E132">
        <v>3330</v>
      </c>
      <c r="F132">
        <v>159</v>
      </c>
      <c r="G132">
        <v>2385</v>
      </c>
      <c r="I132">
        <v>2025</v>
      </c>
      <c r="J132">
        <f>SUM(D132:I132)</f>
        <v>9214</v>
      </c>
    </row>
    <row r="133" spans="2:10" x14ac:dyDescent="0.25">
      <c r="C133" s="33" t="s">
        <v>94</v>
      </c>
    </row>
  </sheetData>
  <autoFilter ref="A1:J105" xr:uid="{E67DD742-1CDA-4288-9F70-2E2EEABD306B}">
    <filterColumn colId="1">
      <filters>
        <filter val="Hubballi"/>
      </filters>
    </filterColumn>
    <filterColumn colId="3" showButton="0"/>
    <filterColumn colId="4" showButton="0"/>
    <filterColumn colId="5" showButton="0"/>
  </autoFilter>
  <mergeCells count="8">
    <mergeCell ref="M2:Q2"/>
    <mergeCell ref="R2:W2"/>
    <mergeCell ref="A1:A2"/>
    <mergeCell ref="C1:C2"/>
    <mergeCell ref="D1:G1"/>
    <mergeCell ref="J1:J2"/>
    <mergeCell ref="M1:W1"/>
    <mergeCell ref="B1:B2"/>
  </mergeCells>
  <conditionalFormatting sqref="J112:J132">
    <cfRule type="cellIs" dxfId="0" priority="3" operator="equal">
      <formula>#REF!</formula>
    </cfRule>
  </conditionalFormatting>
  <pageMargins left="0.7" right="0.7" top="0.75" bottom="0.75" header="0.3" footer="0.3"/>
  <pageSetup paperSize="9" scale="34" orientation="landscape" r:id="rId1"/>
  <headerFooter>
    <oddFooter>&amp;L_x000D_&amp;1#&amp;"Calibri"&amp;10&amp;K000000 Aequs Internal-Strictly this data should remain with Aequs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B535-5B14-4B69-869A-6AA481481F27}">
  <dimension ref="A1:G115"/>
  <sheetViews>
    <sheetView workbookViewId="0">
      <selection activeCell="E14" sqref="E14"/>
    </sheetView>
  </sheetViews>
  <sheetFormatPr defaultRowHeight="15" x14ac:dyDescent="0.25"/>
  <cols>
    <col min="3" max="3" width="39.7109375" bestFit="1" customWidth="1"/>
    <col min="4" max="4" width="12.5703125" bestFit="1" customWidth="1"/>
    <col min="5" max="5" width="11.5703125" bestFit="1" customWidth="1"/>
    <col min="6" max="6" width="25.5703125" bestFit="1" customWidth="1"/>
    <col min="7" max="7" width="18.85546875" customWidth="1"/>
  </cols>
  <sheetData>
    <row r="1" spans="1:7" ht="37.5" x14ac:dyDescent="0.3">
      <c r="A1" s="57" t="s">
        <v>175</v>
      </c>
      <c r="B1" s="57" t="s">
        <v>232</v>
      </c>
      <c r="C1" s="58" t="s">
        <v>176</v>
      </c>
      <c r="D1" s="57" t="s">
        <v>177</v>
      </c>
      <c r="E1" s="57" t="s">
        <v>82</v>
      </c>
      <c r="F1" s="70" t="s">
        <v>179</v>
      </c>
      <c r="G1" s="70" t="s">
        <v>229</v>
      </c>
    </row>
    <row r="2" spans="1:7" x14ac:dyDescent="0.25">
      <c r="A2" s="1">
        <v>1</v>
      </c>
      <c r="B2" s="1" t="s">
        <v>233</v>
      </c>
      <c r="C2" s="62" t="s">
        <v>8</v>
      </c>
      <c r="D2" s="1" t="s">
        <v>138</v>
      </c>
      <c r="E2" s="1" t="s">
        <v>81</v>
      </c>
      <c r="F2" s="56" t="s">
        <v>226</v>
      </c>
      <c r="G2" s="67"/>
    </row>
    <row r="3" spans="1:7" x14ac:dyDescent="0.25">
      <c r="A3" s="1">
        <v>2</v>
      </c>
      <c r="B3" s="1" t="s">
        <v>233</v>
      </c>
      <c r="C3" s="62" t="s">
        <v>2</v>
      </c>
      <c r="D3" s="1" t="s">
        <v>138</v>
      </c>
      <c r="E3" s="1" t="s">
        <v>81</v>
      </c>
      <c r="F3" s="1" t="s">
        <v>205</v>
      </c>
      <c r="G3" s="67" t="s">
        <v>228</v>
      </c>
    </row>
    <row r="4" spans="1:7" x14ac:dyDescent="0.25">
      <c r="A4" s="1">
        <v>3</v>
      </c>
      <c r="B4" s="1" t="s">
        <v>233</v>
      </c>
      <c r="C4" s="62" t="s">
        <v>1</v>
      </c>
      <c r="D4" s="1" t="s">
        <v>138</v>
      </c>
      <c r="E4" s="1" t="s">
        <v>81</v>
      </c>
      <c r="F4" s="1"/>
      <c r="G4" s="67" t="s">
        <v>228</v>
      </c>
    </row>
    <row r="5" spans="1:7" x14ac:dyDescent="0.25">
      <c r="A5" s="1">
        <v>4</v>
      </c>
      <c r="B5" s="1" t="s">
        <v>233</v>
      </c>
      <c r="C5" s="62" t="s">
        <v>9</v>
      </c>
      <c r="D5" s="1" t="s">
        <v>138</v>
      </c>
      <c r="E5" s="1" t="s">
        <v>81</v>
      </c>
      <c r="F5" s="1"/>
      <c r="G5" s="67" t="s">
        <v>228</v>
      </c>
    </row>
    <row r="6" spans="1:7" x14ac:dyDescent="0.25">
      <c r="A6" s="1">
        <v>5</v>
      </c>
      <c r="B6" s="1" t="s">
        <v>233</v>
      </c>
      <c r="C6" s="62" t="s">
        <v>10</v>
      </c>
      <c r="D6" s="1" t="s">
        <v>138</v>
      </c>
      <c r="E6" s="1" t="s">
        <v>81</v>
      </c>
      <c r="F6" s="1"/>
      <c r="G6" s="67" t="s">
        <v>228</v>
      </c>
    </row>
    <row r="7" spans="1:7" x14ac:dyDescent="0.25">
      <c r="A7" s="1">
        <v>6</v>
      </c>
      <c r="B7" s="1" t="s">
        <v>233</v>
      </c>
      <c r="C7" s="62" t="s">
        <v>3</v>
      </c>
      <c r="D7" s="1" t="s">
        <v>138</v>
      </c>
      <c r="E7" s="1" t="s">
        <v>81</v>
      </c>
      <c r="F7" s="1" t="s">
        <v>178</v>
      </c>
      <c r="G7" s="67" t="s">
        <v>228</v>
      </c>
    </row>
    <row r="8" spans="1:7" x14ac:dyDescent="0.25">
      <c r="A8" s="1">
        <v>7</v>
      </c>
      <c r="B8" s="1" t="s">
        <v>233</v>
      </c>
      <c r="C8" s="62" t="s">
        <v>4</v>
      </c>
      <c r="D8" s="1" t="s">
        <v>138</v>
      </c>
      <c r="E8" s="1" t="s">
        <v>81</v>
      </c>
      <c r="F8" s="1" t="s">
        <v>182</v>
      </c>
      <c r="G8" s="67" t="s">
        <v>228</v>
      </c>
    </row>
    <row r="9" spans="1:7" x14ac:dyDescent="0.25">
      <c r="A9" s="1">
        <v>8</v>
      </c>
      <c r="B9" s="1" t="s">
        <v>233</v>
      </c>
      <c r="C9" s="62" t="s">
        <v>11</v>
      </c>
      <c r="D9" s="1" t="s">
        <v>138</v>
      </c>
      <c r="E9" s="1" t="s">
        <v>81</v>
      </c>
      <c r="F9" s="1"/>
      <c r="G9" s="68" t="s">
        <v>228</v>
      </c>
    </row>
    <row r="10" spans="1:7" x14ac:dyDescent="0.25">
      <c r="A10" s="1">
        <v>9</v>
      </c>
      <c r="B10" s="1" t="s">
        <v>233</v>
      </c>
      <c r="C10" s="62" t="s">
        <v>12</v>
      </c>
      <c r="D10" s="1" t="s">
        <v>138</v>
      </c>
      <c r="E10" s="1" t="s">
        <v>81</v>
      </c>
      <c r="F10" s="1"/>
      <c r="G10" s="68" t="s">
        <v>228</v>
      </c>
    </row>
    <row r="11" spans="1:7" x14ac:dyDescent="0.25">
      <c r="A11" s="1">
        <v>10</v>
      </c>
      <c r="B11" s="1" t="s">
        <v>233</v>
      </c>
      <c r="C11" s="62" t="s">
        <v>0</v>
      </c>
      <c r="D11" s="1" t="s">
        <v>138</v>
      </c>
      <c r="E11" s="1" t="s">
        <v>81</v>
      </c>
      <c r="F11" s="1"/>
      <c r="G11" s="67" t="s">
        <v>228</v>
      </c>
    </row>
    <row r="12" spans="1:7" x14ac:dyDescent="0.25">
      <c r="A12" s="1">
        <v>11</v>
      </c>
      <c r="B12" s="1" t="s">
        <v>233</v>
      </c>
      <c r="C12" s="62" t="s">
        <v>13</v>
      </c>
      <c r="D12" s="1" t="s">
        <v>138</v>
      </c>
      <c r="E12" s="1" t="s">
        <v>81</v>
      </c>
      <c r="F12" s="1"/>
      <c r="G12" s="67" t="s">
        <v>228</v>
      </c>
    </row>
    <row r="13" spans="1:7" x14ac:dyDescent="0.25">
      <c r="A13" s="1">
        <v>12</v>
      </c>
      <c r="B13" s="1" t="s">
        <v>233</v>
      </c>
      <c r="C13" s="62" t="s">
        <v>7</v>
      </c>
      <c r="D13" s="1" t="s">
        <v>138</v>
      </c>
      <c r="E13" s="1" t="s">
        <v>81</v>
      </c>
      <c r="F13" s="1" t="s">
        <v>230</v>
      </c>
      <c r="G13" s="67" t="s">
        <v>228</v>
      </c>
    </row>
    <row r="14" spans="1:7" x14ac:dyDescent="0.25">
      <c r="A14" s="1">
        <v>13</v>
      </c>
      <c r="B14" s="1" t="s">
        <v>233</v>
      </c>
      <c r="C14" s="62" t="s">
        <v>5</v>
      </c>
      <c r="D14" s="1" t="s">
        <v>138</v>
      </c>
      <c r="E14" s="1" t="s">
        <v>81</v>
      </c>
      <c r="F14" s="1"/>
      <c r="G14" s="67" t="s">
        <v>228</v>
      </c>
    </row>
    <row r="15" spans="1:7" x14ac:dyDescent="0.25">
      <c r="A15" s="1">
        <v>14</v>
      </c>
      <c r="B15" s="1" t="s">
        <v>233</v>
      </c>
      <c r="C15" s="62" t="s">
        <v>14</v>
      </c>
      <c r="D15" s="1" t="s">
        <v>138</v>
      </c>
      <c r="E15" s="1" t="s">
        <v>81</v>
      </c>
      <c r="F15" s="1"/>
      <c r="G15" s="67" t="s">
        <v>228</v>
      </c>
    </row>
    <row r="16" spans="1:7" x14ac:dyDescent="0.25">
      <c r="A16" s="1">
        <v>15</v>
      </c>
      <c r="B16" s="1" t="s">
        <v>233</v>
      </c>
      <c r="C16" s="64" t="s">
        <v>15</v>
      </c>
      <c r="D16" s="1"/>
      <c r="E16" s="1"/>
      <c r="F16" s="1"/>
    </row>
    <row r="17" spans="1:7" x14ac:dyDescent="0.25">
      <c r="A17" s="1">
        <v>16</v>
      </c>
      <c r="B17" s="1" t="s">
        <v>71</v>
      </c>
      <c r="C17" s="62" t="s">
        <v>101</v>
      </c>
      <c r="D17" s="1" t="s">
        <v>138</v>
      </c>
      <c r="E17" s="1" t="s">
        <v>81</v>
      </c>
      <c r="F17" s="1"/>
      <c r="G17" s="67" t="s">
        <v>228</v>
      </c>
    </row>
    <row r="18" spans="1:7" x14ac:dyDescent="0.25">
      <c r="A18" s="1">
        <v>17</v>
      </c>
      <c r="B18" s="1" t="s">
        <v>233</v>
      </c>
      <c r="C18" s="65" t="s">
        <v>44</v>
      </c>
      <c r="D18" s="1" t="s">
        <v>138</v>
      </c>
      <c r="E18" s="1" t="s">
        <v>81</v>
      </c>
      <c r="F18" s="1"/>
      <c r="G18" s="68"/>
    </row>
    <row r="19" spans="1:7" x14ac:dyDescent="0.25">
      <c r="A19" s="1">
        <v>18</v>
      </c>
      <c r="B19" s="1" t="s">
        <v>233</v>
      </c>
      <c r="C19" s="65" t="s">
        <v>164</v>
      </c>
      <c r="D19" s="1"/>
      <c r="E19" s="1"/>
      <c r="F19" s="1"/>
    </row>
    <row r="20" spans="1:7" x14ac:dyDescent="0.25">
      <c r="A20" s="1">
        <v>19</v>
      </c>
      <c r="B20" s="1" t="s">
        <v>233</v>
      </c>
      <c r="C20" s="65" t="s">
        <v>41</v>
      </c>
      <c r="D20" s="1" t="s">
        <v>138</v>
      </c>
      <c r="E20" s="1" t="s">
        <v>81</v>
      </c>
      <c r="F20" s="1"/>
      <c r="G20" t="s">
        <v>228</v>
      </c>
    </row>
    <row r="21" spans="1:7" x14ac:dyDescent="0.25">
      <c r="A21" s="1">
        <v>20</v>
      </c>
      <c r="B21" s="1" t="s">
        <v>233</v>
      </c>
      <c r="C21" s="65" t="s">
        <v>55</v>
      </c>
      <c r="D21" s="1"/>
      <c r="E21" s="1"/>
      <c r="F21" s="1"/>
    </row>
    <row r="22" spans="1:7" x14ac:dyDescent="0.25">
      <c r="A22" s="1">
        <v>21</v>
      </c>
      <c r="B22" s="1" t="s">
        <v>233</v>
      </c>
      <c r="C22" s="62" t="s">
        <v>57</v>
      </c>
      <c r="D22" s="1" t="s">
        <v>138</v>
      </c>
      <c r="E22" s="1" t="s">
        <v>81</v>
      </c>
      <c r="F22" s="1" t="s">
        <v>184</v>
      </c>
      <c r="G22" s="67" t="s">
        <v>228</v>
      </c>
    </row>
    <row r="23" spans="1:7" x14ac:dyDescent="0.25">
      <c r="A23" s="1">
        <v>22</v>
      </c>
      <c r="B23" s="1" t="s">
        <v>233</v>
      </c>
      <c r="C23" s="65" t="s">
        <v>58</v>
      </c>
      <c r="D23" s="1"/>
      <c r="E23" s="1"/>
      <c r="F23" s="1"/>
    </row>
    <row r="24" spans="1:7" x14ac:dyDescent="0.25">
      <c r="A24" s="1">
        <v>23</v>
      </c>
      <c r="B24" s="1" t="s">
        <v>233</v>
      </c>
      <c r="C24" s="62" t="s">
        <v>59</v>
      </c>
      <c r="D24" s="1" t="s">
        <v>138</v>
      </c>
      <c r="E24" s="1" t="s">
        <v>81</v>
      </c>
      <c r="F24" s="1"/>
      <c r="G24" s="67" t="s">
        <v>228</v>
      </c>
    </row>
    <row r="25" spans="1:7" x14ac:dyDescent="0.25">
      <c r="A25" s="1">
        <v>24</v>
      </c>
      <c r="B25" s="1" t="s">
        <v>233</v>
      </c>
      <c r="C25" s="62" t="s">
        <v>60</v>
      </c>
      <c r="D25" s="1" t="s">
        <v>138</v>
      </c>
      <c r="E25" s="1" t="s">
        <v>81</v>
      </c>
      <c r="F25" s="1"/>
      <c r="G25" s="67" t="s">
        <v>228</v>
      </c>
    </row>
    <row r="26" spans="1:7" x14ac:dyDescent="0.25">
      <c r="A26" s="1">
        <v>25</v>
      </c>
      <c r="B26" s="1" t="s">
        <v>233</v>
      </c>
      <c r="C26" s="62" t="s">
        <v>150</v>
      </c>
      <c r="D26" s="1" t="s">
        <v>138</v>
      </c>
      <c r="E26" s="1" t="s">
        <v>81</v>
      </c>
      <c r="F26" s="1"/>
      <c r="G26" s="68" t="s">
        <v>228</v>
      </c>
    </row>
    <row r="27" spans="1:7" x14ac:dyDescent="0.25">
      <c r="A27" s="1">
        <v>26</v>
      </c>
      <c r="B27" s="1" t="s">
        <v>233</v>
      </c>
      <c r="C27" s="62" t="s">
        <v>61</v>
      </c>
      <c r="D27" s="1" t="s">
        <v>138</v>
      </c>
      <c r="E27" s="1" t="s">
        <v>81</v>
      </c>
      <c r="F27" s="1"/>
      <c r="G27" s="67" t="s">
        <v>228</v>
      </c>
    </row>
    <row r="28" spans="1:7" x14ac:dyDescent="0.25">
      <c r="A28" s="1">
        <v>27</v>
      </c>
      <c r="B28" s="1" t="s">
        <v>233</v>
      </c>
      <c r="C28" s="62" t="s">
        <v>62</v>
      </c>
      <c r="D28" s="1" t="s">
        <v>138</v>
      </c>
      <c r="E28" s="1" t="s">
        <v>81</v>
      </c>
      <c r="F28" s="1"/>
      <c r="G28" s="67" t="s">
        <v>228</v>
      </c>
    </row>
    <row r="29" spans="1:7" x14ac:dyDescent="0.25">
      <c r="A29" s="1">
        <v>28</v>
      </c>
      <c r="B29" s="1" t="s">
        <v>233</v>
      </c>
      <c r="C29" s="62" t="s">
        <v>54</v>
      </c>
      <c r="D29" s="1" t="s">
        <v>138</v>
      </c>
      <c r="E29" s="1" t="s">
        <v>81</v>
      </c>
      <c r="F29" s="1" t="s">
        <v>181</v>
      </c>
      <c r="G29" s="67" t="s">
        <v>228</v>
      </c>
    </row>
    <row r="30" spans="1:7" x14ac:dyDescent="0.25">
      <c r="A30" s="1">
        <v>29</v>
      </c>
      <c r="B30" s="1" t="s">
        <v>233</v>
      </c>
      <c r="C30" s="62" t="s">
        <v>63</v>
      </c>
      <c r="D30" s="1" t="s">
        <v>138</v>
      </c>
      <c r="E30" s="1" t="s">
        <v>81</v>
      </c>
      <c r="F30" s="1" t="s">
        <v>191</v>
      </c>
      <c r="G30" s="67" t="s">
        <v>228</v>
      </c>
    </row>
    <row r="31" spans="1:7" x14ac:dyDescent="0.25">
      <c r="A31" s="1">
        <v>30</v>
      </c>
      <c r="B31" s="1" t="s">
        <v>71</v>
      </c>
      <c r="C31" s="10" t="s">
        <v>74</v>
      </c>
      <c r="D31" s="1"/>
      <c r="E31" s="1"/>
      <c r="F31" s="1"/>
    </row>
    <row r="32" spans="1:7" x14ac:dyDescent="0.25">
      <c r="A32" s="1">
        <v>31</v>
      </c>
      <c r="B32" s="1" t="s">
        <v>71</v>
      </c>
      <c r="C32" s="10" t="s">
        <v>75</v>
      </c>
      <c r="D32" s="1"/>
      <c r="E32" s="1"/>
      <c r="F32" s="1"/>
    </row>
    <row r="33" spans="1:7" x14ac:dyDescent="0.25">
      <c r="A33" s="1">
        <v>32</v>
      </c>
      <c r="B33" s="1" t="s">
        <v>71</v>
      </c>
      <c r="C33" s="62" t="s">
        <v>66</v>
      </c>
      <c r="D33" s="1" t="s">
        <v>138</v>
      </c>
      <c r="E33" s="1" t="s">
        <v>81</v>
      </c>
      <c r="F33" s="1"/>
      <c r="G33" s="67" t="s">
        <v>228</v>
      </c>
    </row>
    <row r="34" spans="1:7" x14ac:dyDescent="0.25">
      <c r="A34" s="1">
        <v>33</v>
      </c>
      <c r="B34" s="1" t="s">
        <v>71</v>
      </c>
      <c r="C34" s="62" t="s">
        <v>135</v>
      </c>
      <c r="D34" s="1" t="s">
        <v>138</v>
      </c>
      <c r="E34" s="1" t="s">
        <v>81</v>
      </c>
      <c r="F34" s="1"/>
      <c r="G34" s="68" t="s">
        <v>228</v>
      </c>
    </row>
    <row r="35" spans="1:7" x14ac:dyDescent="0.25">
      <c r="A35" s="1">
        <v>34</v>
      </c>
      <c r="B35" s="1" t="s">
        <v>71</v>
      </c>
      <c r="C35" s="10" t="s">
        <v>69</v>
      </c>
      <c r="D35" s="1" t="s">
        <v>138</v>
      </c>
      <c r="E35" s="1" t="s">
        <v>81</v>
      </c>
      <c r="F35" s="1"/>
      <c r="G35" s="68" t="s">
        <v>228</v>
      </c>
    </row>
    <row r="36" spans="1:7" x14ac:dyDescent="0.25">
      <c r="A36" s="1">
        <v>35</v>
      </c>
      <c r="B36" s="1" t="s">
        <v>233</v>
      </c>
      <c r="C36" s="62" t="s">
        <v>78</v>
      </c>
      <c r="D36" s="1" t="s">
        <v>138</v>
      </c>
      <c r="E36" s="1" t="s">
        <v>81</v>
      </c>
      <c r="F36" s="1"/>
      <c r="G36" s="67" t="s">
        <v>228</v>
      </c>
    </row>
    <row r="37" spans="1:7" x14ac:dyDescent="0.25">
      <c r="A37" s="1">
        <v>36</v>
      </c>
      <c r="B37" s="1" t="s">
        <v>233</v>
      </c>
      <c r="C37" s="62" t="s">
        <v>79</v>
      </c>
      <c r="D37" s="1" t="s">
        <v>138</v>
      </c>
      <c r="E37" s="1" t="s">
        <v>81</v>
      </c>
      <c r="F37" s="1" t="s">
        <v>180</v>
      </c>
      <c r="G37" s="67" t="s">
        <v>228</v>
      </c>
    </row>
    <row r="38" spans="1:7" x14ac:dyDescent="0.25">
      <c r="A38" s="1">
        <v>37</v>
      </c>
      <c r="B38" s="1" t="s">
        <v>233</v>
      </c>
      <c r="C38" s="65" t="s">
        <v>86</v>
      </c>
      <c r="D38" s="1"/>
      <c r="E38" s="1"/>
      <c r="F38" s="1"/>
    </row>
    <row r="39" spans="1:7" x14ac:dyDescent="0.25">
      <c r="A39" s="1">
        <v>38</v>
      </c>
      <c r="B39" s="1" t="s">
        <v>233</v>
      </c>
      <c r="C39" s="62" t="s">
        <v>87</v>
      </c>
      <c r="D39" s="1" t="s">
        <v>138</v>
      </c>
      <c r="E39" s="1" t="s">
        <v>81</v>
      </c>
      <c r="F39" s="1" t="s">
        <v>183</v>
      </c>
      <c r="G39" s="67" t="s">
        <v>228</v>
      </c>
    </row>
    <row r="40" spans="1:7" x14ac:dyDescent="0.25">
      <c r="A40" s="1">
        <v>39</v>
      </c>
      <c r="B40" s="1" t="s">
        <v>233</v>
      </c>
      <c r="C40" s="62" t="s">
        <v>88</v>
      </c>
      <c r="D40" s="1" t="s">
        <v>138</v>
      </c>
      <c r="E40" s="1" t="s">
        <v>81</v>
      </c>
      <c r="F40" s="1"/>
      <c r="G40" s="68" t="s">
        <v>228</v>
      </c>
    </row>
    <row r="41" spans="1:7" x14ac:dyDescent="0.25">
      <c r="A41" s="1">
        <v>40</v>
      </c>
      <c r="B41" s="1" t="s">
        <v>71</v>
      </c>
      <c r="C41" s="10" t="s">
        <v>100</v>
      </c>
      <c r="D41" s="1" t="s">
        <v>138</v>
      </c>
      <c r="E41" s="1" t="s">
        <v>81</v>
      </c>
      <c r="F41" s="1"/>
      <c r="G41" s="67" t="s">
        <v>228</v>
      </c>
    </row>
    <row r="42" spans="1:7" x14ac:dyDescent="0.25">
      <c r="A42" s="1">
        <v>41</v>
      </c>
      <c r="B42" s="1" t="s">
        <v>71</v>
      </c>
      <c r="C42" s="62" t="s">
        <v>130</v>
      </c>
      <c r="D42" s="1" t="s">
        <v>138</v>
      </c>
      <c r="E42" s="1" t="s">
        <v>81</v>
      </c>
      <c r="F42" s="1"/>
      <c r="G42" s="67" t="s">
        <v>228</v>
      </c>
    </row>
    <row r="43" spans="1:7" x14ac:dyDescent="0.25">
      <c r="A43" s="1">
        <v>42</v>
      </c>
      <c r="B43" s="1" t="s">
        <v>233</v>
      </c>
      <c r="C43" s="69" t="s">
        <v>134</v>
      </c>
      <c r="D43" s="1" t="s">
        <v>138</v>
      </c>
      <c r="E43" s="1" t="s">
        <v>81</v>
      </c>
      <c r="F43" s="1"/>
      <c r="G43" s="67" t="s">
        <v>228</v>
      </c>
    </row>
    <row r="44" spans="1:7" x14ac:dyDescent="0.25">
      <c r="A44" s="1">
        <v>43</v>
      </c>
      <c r="B44" s="1" t="s">
        <v>233</v>
      </c>
      <c r="C44" s="62" t="s">
        <v>104</v>
      </c>
      <c r="D44" s="1" t="s">
        <v>138</v>
      </c>
      <c r="E44" s="1" t="s">
        <v>81</v>
      </c>
      <c r="F44" s="1"/>
      <c r="G44" s="68" t="s">
        <v>228</v>
      </c>
    </row>
    <row r="45" spans="1:7" x14ac:dyDescent="0.25">
      <c r="A45" s="1">
        <v>44</v>
      </c>
      <c r="B45" s="1" t="s">
        <v>233</v>
      </c>
      <c r="C45" s="63" t="s">
        <v>107</v>
      </c>
      <c r="D45" s="1" t="s">
        <v>138</v>
      </c>
      <c r="E45" s="1" t="s">
        <v>81</v>
      </c>
      <c r="F45" s="1"/>
      <c r="G45" s="67" t="s">
        <v>228</v>
      </c>
    </row>
    <row r="46" spans="1:7" x14ac:dyDescent="0.25">
      <c r="A46" s="1">
        <v>45</v>
      </c>
      <c r="B46" s="1" t="s">
        <v>233</v>
      </c>
      <c r="C46" s="62" t="s">
        <v>108</v>
      </c>
      <c r="D46" s="1" t="s">
        <v>138</v>
      </c>
      <c r="E46" s="1" t="s">
        <v>81</v>
      </c>
      <c r="F46" s="1"/>
      <c r="G46" s="68" t="s">
        <v>228</v>
      </c>
    </row>
    <row r="47" spans="1:7" x14ac:dyDescent="0.25">
      <c r="A47" s="1">
        <v>46</v>
      </c>
      <c r="B47" s="1" t="s">
        <v>233</v>
      </c>
      <c r="C47" s="62" t="s">
        <v>109</v>
      </c>
      <c r="D47" s="1" t="s">
        <v>138</v>
      </c>
      <c r="E47" s="1" t="s">
        <v>81</v>
      </c>
      <c r="F47" s="1"/>
      <c r="G47" s="68" t="s">
        <v>228</v>
      </c>
    </row>
    <row r="48" spans="1:7" x14ac:dyDescent="0.25">
      <c r="A48" s="1">
        <v>47</v>
      </c>
      <c r="B48" s="1" t="s">
        <v>233</v>
      </c>
      <c r="C48" s="62" t="s">
        <v>112</v>
      </c>
      <c r="D48" s="1" t="s">
        <v>138</v>
      </c>
      <c r="E48" s="1" t="s">
        <v>81</v>
      </c>
      <c r="F48" s="1"/>
      <c r="G48" s="67" t="s">
        <v>228</v>
      </c>
    </row>
    <row r="49" spans="1:7" x14ac:dyDescent="0.25">
      <c r="A49" s="1">
        <v>48</v>
      </c>
      <c r="B49" s="1" t="s">
        <v>233</v>
      </c>
      <c r="C49" s="62" t="s">
        <v>131</v>
      </c>
      <c r="D49" s="1" t="s">
        <v>138</v>
      </c>
      <c r="E49" s="1" t="s">
        <v>81</v>
      </c>
      <c r="F49" s="1"/>
      <c r="G49" s="67" t="s">
        <v>228</v>
      </c>
    </row>
    <row r="50" spans="1:7" x14ac:dyDescent="0.25">
      <c r="A50" s="1">
        <v>49</v>
      </c>
      <c r="B50" s="1" t="s">
        <v>233</v>
      </c>
      <c r="C50" s="62" t="s">
        <v>114</v>
      </c>
      <c r="D50" s="1" t="s">
        <v>138</v>
      </c>
      <c r="E50" s="1" t="s">
        <v>81</v>
      </c>
      <c r="F50" s="1"/>
      <c r="G50" s="67" t="s">
        <v>228</v>
      </c>
    </row>
    <row r="51" spans="1:7" x14ac:dyDescent="0.25">
      <c r="A51" s="1">
        <v>50</v>
      </c>
      <c r="B51" s="1" t="s">
        <v>233</v>
      </c>
      <c r="C51" s="10" t="s">
        <v>217</v>
      </c>
      <c r="D51" s="1"/>
      <c r="E51" s="1"/>
      <c r="F51" s="1"/>
    </row>
    <row r="52" spans="1:7" x14ac:dyDescent="0.25">
      <c r="A52" s="1">
        <v>51</v>
      </c>
      <c r="B52" s="1" t="s">
        <v>233</v>
      </c>
      <c r="C52" s="62" t="s">
        <v>116</v>
      </c>
      <c r="D52" s="1" t="s">
        <v>138</v>
      </c>
      <c r="E52" s="1" t="s">
        <v>81</v>
      </c>
      <c r="F52" s="1"/>
      <c r="G52" s="67" t="s">
        <v>228</v>
      </c>
    </row>
    <row r="53" spans="1:7" x14ac:dyDescent="0.25">
      <c r="A53" s="1">
        <v>52</v>
      </c>
      <c r="B53" s="1" t="s">
        <v>71</v>
      </c>
      <c r="C53" s="10" t="s">
        <v>119</v>
      </c>
      <c r="D53" s="1" t="s">
        <v>138</v>
      </c>
      <c r="E53" s="1" t="s">
        <v>81</v>
      </c>
      <c r="F53" s="1"/>
    </row>
    <row r="54" spans="1:7" x14ac:dyDescent="0.25">
      <c r="A54" s="1">
        <v>53</v>
      </c>
      <c r="B54" s="1" t="s">
        <v>71</v>
      </c>
      <c r="C54" s="10" t="s">
        <v>121</v>
      </c>
      <c r="D54" s="1"/>
      <c r="E54" s="1"/>
      <c r="F54" s="1"/>
    </row>
    <row r="55" spans="1:7" x14ac:dyDescent="0.25">
      <c r="A55" s="1">
        <v>54</v>
      </c>
      <c r="B55" s="1" t="s">
        <v>71</v>
      </c>
      <c r="C55" s="10" t="s">
        <v>122</v>
      </c>
      <c r="D55" s="1"/>
      <c r="E55" s="1"/>
      <c r="F55" s="1"/>
    </row>
    <row r="56" spans="1:7" x14ac:dyDescent="0.25">
      <c r="A56" s="1">
        <v>55</v>
      </c>
      <c r="B56" s="1" t="s">
        <v>71</v>
      </c>
      <c r="C56" s="10" t="s">
        <v>123</v>
      </c>
      <c r="D56" s="1"/>
      <c r="E56" s="1"/>
      <c r="F56" s="1"/>
    </row>
    <row r="57" spans="1:7" x14ac:dyDescent="0.25">
      <c r="A57" s="1">
        <v>56</v>
      </c>
      <c r="B57" s="1" t="s">
        <v>233</v>
      </c>
      <c r="C57" s="62" t="s">
        <v>132</v>
      </c>
      <c r="D57" s="1" t="s">
        <v>138</v>
      </c>
      <c r="E57" s="1" t="s">
        <v>81</v>
      </c>
      <c r="F57" s="1"/>
      <c r="G57" s="67" t="s">
        <v>228</v>
      </c>
    </row>
    <row r="58" spans="1:7" x14ac:dyDescent="0.25">
      <c r="A58" s="1">
        <v>57</v>
      </c>
      <c r="B58" s="1" t="s">
        <v>233</v>
      </c>
      <c r="C58" s="62" t="s">
        <v>133</v>
      </c>
      <c r="D58" s="1" t="s">
        <v>138</v>
      </c>
      <c r="E58" s="1" t="s">
        <v>81</v>
      </c>
      <c r="F58" s="1"/>
      <c r="G58" s="67" t="s">
        <v>228</v>
      </c>
    </row>
    <row r="59" spans="1:7" x14ac:dyDescent="0.25">
      <c r="A59" s="1">
        <v>58</v>
      </c>
      <c r="B59" s="1" t="s">
        <v>71</v>
      </c>
      <c r="C59" s="10" t="s">
        <v>136</v>
      </c>
      <c r="D59" s="1"/>
      <c r="E59" s="1"/>
      <c r="F59" s="1"/>
    </row>
    <row r="60" spans="1:7" x14ac:dyDescent="0.25">
      <c r="A60" s="1">
        <v>59</v>
      </c>
      <c r="B60" s="1" t="s">
        <v>71</v>
      </c>
      <c r="C60" s="10" t="s">
        <v>156</v>
      </c>
      <c r="D60" s="1"/>
      <c r="E60" s="1"/>
      <c r="F60" s="1"/>
    </row>
    <row r="61" spans="1:7" x14ac:dyDescent="0.25">
      <c r="A61" s="1">
        <v>60</v>
      </c>
      <c r="B61" s="1" t="s">
        <v>233</v>
      </c>
      <c r="C61" s="62" t="s">
        <v>106</v>
      </c>
      <c r="D61" s="1" t="s">
        <v>138</v>
      </c>
      <c r="E61" s="1" t="s">
        <v>81</v>
      </c>
      <c r="F61" s="1"/>
      <c r="G61" s="67" t="s">
        <v>228</v>
      </c>
    </row>
    <row r="62" spans="1:7" x14ac:dyDescent="0.25">
      <c r="A62" s="1">
        <v>61</v>
      </c>
      <c r="B62" s="1" t="s">
        <v>233</v>
      </c>
      <c r="C62" s="62" t="s">
        <v>140</v>
      </c>
      <c r="D62" s="1" t="s">
        <v>138</v>
      </c>
      <c r="E62" s="1" t="s">
        <v>81</v>
      </c>
      <c r="F62" s="1"/>
      <c r="G62" s="67" t="s">
        <v>228</v>
      </c>
    </row>
    <row r="63" spans="1:7" x14ac:dyDescent="0.25">
      <c r="A63" s="1">
        <v>62</v>
      </c>
      <c r="B63" s="1" t="s">
        <v>233</v>
      </c>
      <c r="C63" s="62" t="s">
        <v>139</v>
      </c>
      <c r="D63" s="1" t="s">
        <v>138</v>
      </c>
      <c r="E63" s="1" t="s">
        <v>81</v>
      </c>
      <c r="F63" s="1"/>
      <c r="G63" s="67" t="s">
        <v>228</v>
      </c>
    </row>
    <row r="64" spans="1:7" x14ac:dyDescent="0.25">
      <c r="A64" s="1">
        <v>63</v>
      </c>
      <c r="B64" s="1" t="s">
        <v>233</v>
      </c>
      <c r="C64" s="62" t="s">
        <v>141</v>
      </c>
      <c r="D64" s="1" t="s">
        <v>138</v>
      </c>
      <c r="E64" s="1" t="s">
        <v>81</v>
      </c>
      <c r="F64" s="1"/>
      <c r="G64" s="67" t="s">
        <v>228</v>
      </c>
    </row>
    <row r="65" spans="1:7" x14ac:dyDescent="0.25">
      <c r="A65" s="1">
        <v>64</v>
      </c>
      <c r="B65" s="1" t="s">
        <v>233</v>
      </c>
      <c r="C65" s="65" t="s">
        <v>152</v>
      </c>
      <c r="D65" s="1" t="s">
        <v>138</v>
      </c>
      <c r="E65" s="1" t="s">
        <v>81</v>
      </c>
      <c r="F65" s="1"/>
      <c r="G65" s="67" t="s">
        <v>228</v>
      </c>
    </row>
    <row r="66" spans="1:7" x14ac:dyDescent="0.25">
      <c r="A66" s="1">
        <v>65</v>
      </c>
      <c r="B66" s="1" t="s">
        <v>233</v>
      </c>
      <c r="C66" s="62" t="s">
        <v>163</v>
      </c>
      <c r="D66" s="1" t="s">
        <v>138</v>
      </c>
      <c r="E66" s="1" t="s">
        <v>81</v>
      </c>
      <c r="F66" s="1"/>
      <c r="G66" s="67" t="s">
        <v>228</v>
      </c>
    </row>
    <row r="67" spans="1:7" x14ac:dyDescent="0.25">
      <c r="A67" s="1">
        <v>66</v>
      </c>
      <c r="B67" s="1" t="s">
        <v>233</v>
      </c>
      <c r="C67" s="62" t="s">
        <v>142</v>
      </c>
      <c r="D67" s="1" t="s">
        <v>138</v>
      </c>
      <c r="E67" s="1" t="s">
        <v>81</v>
      </c>
      <c r="F67" s="1"/>
    </row>
    <row r="68" spans="1:7" x14ac:dyDescent="0.25">
      <c r="A68" s="1">
        <v>67</v>
      </c>
      <c r="B68" s="1" t="s">
        <v>233</v>
      </c>
      <c r="C68" s="62" t="s">
        <v>153</v>
      </c>
      <c r="D68" s="1" t="s">
        <v>138</v>
      </c>
      <c r="E68" s="1" t="s">
        <v>81</v>
      </c>
      <c r="F68" s="1"/>
      <c r="G68" s="67" t="s">
        <v>228</v>
      </c>
    </row>
    <row r="69" spans="1:7" x14ac:dyDescent="0.25">
      <c r="A69" s="1">
        <v>68</v>
      </c>
      <c r="B69" s="1" t="s">
        <v>233</v>
      </c>
      <c r="C69" s="62" t="s">
        <v>111</v>
      </c>
      <c r="D69" s="1" t="s">
        <v>138</v>
      </c>
      <c r="E69" s="1" t="s">
        <v>81</v>
      </c>
      <c r="F69" s="1"/>
      <c r="G69" s="67" t="s">
        <v>228</v>
      </c>
    </row>
    <row r="70" spans="1:7" x14ac:dyDescent="0.25">
      <c r="A70" s="1">
        <v>69</v>
      </c>
      <c r="B70" s="1" t="s">
        <v>233</v>
      </c>
      <c r="C70" s="62" t="s">
        <v>143</v>
      </c>
      <c r="D70" s="1" t="s">
        <v>138</v>
      </c>
      <c r="E70" s="1" t="s">
        <v>81</v>
      </c>
      <c r="F70" s="1"/>
      <c r="G70" s="67" t="s">
        <v>228</v>
      </c>
    </row>
    <row r="71" spans="1:7" x14ac:dyDescent="0.25">
      <c r="A71" s="1">
        <v>70</v>
      </c>
      <c r="B71" s="1" t="s">
        <v>233</v>
      </c>
      <c r="C71" s="62" t="s">
        <v>144</v>
      </c>
      <c r="D71" s="1" t="s">
        <v>138</v>
      </c>
      <c r="E71" s="1" t="s">
        <v>81</v>
      </c>
      <c r="F71" s="1"/>
      <c r="G71" s="67" t="s">
        <v>228</v>
      </c>
    </row>
    <row r="72" spans="1:7" x14ac:dyDescent="0.25">
      <c r="A72" s="1">
        <v>71</v>
      </c>
      <c r="B72" s="1" t="s">
        <v>233</v>
      </c>
      <c r="C72" s="62" t="s">
        <v>145</v>
      </c>
      <c r="D72" s="1" t="s">
        <v>138</v>
      </c>
      <c r="E72" s="1" t="s">
        <v>81</v>
      </c>
      <c r="F72" s="1" t="s">
        <v>208</v>
      </c>
      <c r="G72" s="67" t="s">
        <v>228</v>
      </c>
    </row>
    <row r="73" spans="1:7" x14ac:dyDescent="0.25">
      <c r="A73" s="1">
        <v>72</v>
      </c>
      <c r="B73" s="1" t="s">
        <v>233</v>
      </c>
      <c r="C73" s="62" t="s">
        <v>147</v>
      </c>
      <c r="D73" s="1" t="s">
        <v>138</v>
      </c>
      <c r="E73" s="1" t="s">
        <v>81</v>
      </c>
      <c r="F73" s="1"/>
      <c r="G73" s="68" t="s">
        <v>228</v>
      </c>
    </row>
    <row r="74" spans="1:7" x14ac:dyDescent="0.25">
      <c r="A74" s="1">
        <v>73</v>
      </c>
      <c r="B74" s="1" t="s">
        <v>233</v>
      </c>
      <c r="C74" s="62" t="s">
        <v>148</v>
      </c>
      <c r="D74" s="1" t="s">
        <v>138</v>
      </c>
      <c r="E74" s="1" t="s">
        <v>81</v>
      </c>
      <c r="F74" s="1" t="s">
        <v>207</v>
      </c>
      <c r="G74" s="67" t="s">
        <v>228</v>
      </c>
    </row>
    <row r="75" spans="1:7" x14ac:dyDescent="0.25">
      <c r="A75" s="1">
        <v>74</v>
      </c>
      <c r="B75" s="1" t="s">
        <v>233</v>
      </c>
      <c r="C75" s="62" t="s">
        <v>149</v>
      </c>
      <c r="D75" s="1" t="s">
        <v>138</v>
      </c>
      <c r="E75" s="1" t="s">
        <v>81</v>
      </c>
      <c r="F75" s="1" t="s">
        <v>207</v>
      </c>
      <c r="G75" s="67" t="s">
        <v>228</v>
      </c>
    </row>
    <row r="76" spans="1:7" x14ac:dyDescent="0.25">
      <c r="A76" s="1">
        <v>75</v>
      </c>
      <c r="B76" s="1" t="s">
        <v>233</v>
      </c>
      <c r="C76" s="65" t="s">
        <v>219</v>
      </c>
      <c r="D76" s="1"/>
      <c r="E76" s="1"/>
      <c r="F76" s="1"/>
    </row>
    <row r="77" spans="1:7" x14ac:dyDescent="0.25">
      <c r="A77" s="1">
        <v>76</v>
      </c>
      <c r="B77" s="1" t="s">
        <v>233</v>
      </c>
      <c r="C77" s="62" t="s">
        <v>151</v>
      </c>
      <c r="D77" s="1" t="s">
        <v>138</v>
      </c>
      <c r="E77" s="1" t="s">
        <v>81</v>
      </c>
      <c r="F77" s="1"/>
      <c r="G77" s="67" t="s">
        <v>228</v>
      </c>
    </row>
    <row r="78" spans="1:7" x14ac:dyDescent="0.25">
      <c r="A78" s="1">
        <v>77</v>
      </c>
      <c r="B78" s="1" t="s">
        <v>233</v>
      </c>
      <c r="C78" s="10" t="s">
        <v>154</v>
      </c>
      <c r="D78" s="1" t="s">
        <v>138</v>
      </c>
      <c r="E78" s="1" t="s">
        <v>81</v>
      </c>
      <c r="F78" s="1"/>
    </row>
    <row r="79" spans="1:7" x14ac:dyDescent="0.25">
      <c r="A79" s="1">
        <v>78</v>
      </c>
      <c r="B79" s="1" t="s">
        <v>71</v>
      </c>
      <c r="C79" s="10" t="s">
        <v>155</v>
      </c>
      <c r="D79" s="1"/>
      <c r="E79" s="1"/>
      <c r="F79" s="1"/>
    </row>
    <row r="80" spans="1:7" x14ac:dyDescent="0.25">
      <c r="A80" s="1">
        <v>79</v>
      </c>
      <c r="B80" s="1" t="s">
        <v>71</v>
      </c>
      <c r="C80" s="62" t="s">
        <v>212</v>
      </c>
      <c r="D80" s="1" t="s">
        <v>138</v>
      </c>
      <c r="E80" s="1" t="s">
        <v>81</v>
      </c>
      <c r="F80" s="1"/>
      <c r="G80" s="67" t="s">
        <v>228</v>
      </c>
    </row>
    <row r="81" spans="1:7" x14ac:dyDescent="0.25">
      <c r="A81" s="1">
        <v>80</v>
      </c>
      <c r="B81" s="1" t="s">
        <v>233</v>
      </c>
      <c r="C81" s="62" t="s">
        <v>158</v>
      </c>
      <c r="D81" s="1" t="s">
        <v>138</v>
      </c>
      <c r="E81" s="1" t="s">
        <v>81</v>
      </c>
      <c r="F81" s="1"/>
      <c r="G81" s="67" t="s">
        <v>228</v>
      </c>
    </row>
    <row r="82" spans="1:7" x14ac:dyDescent="0.25">
      <c r="A82" s="1">
        <v>81</v>
      </c>
      <c r="B82" s="1" t="s">
        <v>233</v>
      </c>
      <c r="C82" s="62" t="s">
        <v>157</v>
      </c>
      <c r="D82" s="1" t="s">
        <v>138</v>
      </c>
      <c r="E82" s="1" t="s">
        <v>81</v>
      </c>
      <c r="F82" s="1"/>
      <c r="G82" s="67" t="s">
        <v>228</v>
      </c>
    </row>
    <row r="83" spans="1:7" x14ac:dyDescent="0.25">
      <c r="A83" s="1">
        <v>82</v>
      </c>
      <c r="B83" s="1" t="s">
        <v>233</v>
      </c>
      <c r="C83" s="62" t="s">
        <v>159</v>
      </c>
      <c r="D83" s="1" t="s">
        <v>138</v>
      </c>
      <c r="E83" s="1" t="s">
        <v>81</v>
      </c>
      <c r="F83" s="1"/>
      <c r="G83" s="67" t="s">
        <v>228</v>
      </c>
    </row>
    <row r="84" spans="1:7" x14ac:dyDescent="0.25">
      <c r="A84" s="1">
        <v>83</v>
      </c>
      <c r="B84" s="1" t="s">
        <v>233</v>
      </c>
      <c r="C84" s="62" t="s">
        <v>160</v>
      </c>
      <c r="D84" s="1" t="s">
        <v>138</v>
      </c>
      <c r="E84" s="1" t="s">
        <v>81</v>
      </c>
      <c r="F84" s="1"/>
      <c r="G84" s="67" t="s">
        <v>228</v>
      </c>
    </row>
    <row r="85" spans="1:7" x14ac:dyDescent="0.25">
      <c r="A85" s="1">
        <v>84</v>
      </c>
      <c r="B85" s="1" t="s">
        <v>233</v>
      </c>
      <c r="C85" s="10" t="s">
        <v>161</v>
      </c>
      <c r="D85" s="1" t="s">
        <v>138</v>
      </c>
      <c r="E85" s="1" t="s">
        <v>81</v>
      </c>
      <c r="F85" s="1"/>
    </row>
    <row r="86" spans="1:7" x14ac:dyDescent="0.25">
      <c r="A86" s="1">
        <v>85</v>
      </c>
      <c r="B86" s="1" t="s">
        <v>233</v>
      </c>
      <c r="C86" s="62" t="s">
        <v>129</v>
      </c>
      <c r="D86" s="1" t="s">
        <v>138</v>
      </c>
      <c r="E86" s="1" t="s">
        <v>81</v>
      </c>
      <c r="F86" s="1"/>
    </row>
    <row r="87" spans="1:7" x14ac:dyDescent="0.25">
      <c r="A87" s="1">
        <v>86</v>
      </c>
      <c r="B87" s="1" t="s">
        <v>233</v>
      </c>
      <c r="C87" s="62" t="s">
        <v>162</v>
      </c>
      <c r="D87" s="1" t="s">
        <v>138</v>
      </c>
      <c r="E87" s="1" t="s">
        <v>81</v>
      </c>
      <c r="F87" s="1"/>
      <c r="G87" s="67" t="s">
        <v>228</v>
      </c>
    </row>
    <row r="88" spans="1:7" x14ac:dyDescent="0.25">
      <c r="A88" s="1">
        <v>87</v>
      </c>
      <c r="B88" s="1" t="s">
        <v>233</v>
      </c>
      <c r="C88" s="62" t="s">
        <v>165</v>
      </c>
      <c r="D88" s="1" t="s">
        <v>138</v>
      </c>
      <c r="E88" s="1" t="s">
        <v>81</v>
      </c>
      <c r="F88" s="1"/>
      <c r="G88" s="68" t="s">
        <v>228</v>
      </c>
    </row>
    <row r="89" spans="1:7" x14ac:dyDescent="0.25">
      <c r="A89" s="1">
        <v>88</v>
      </c>
      <c r="B89" s="1" t="s">
        <v>233</v>
      </c>
      <c r="C89" s="10" t="s">
        <v>166</v>
      </c>
      <c r="D89" s="1" t="s">
        <v>138</v>
      </c>
      <c r="E89" s="1"/>
      <c r="F89" s="1"/>
    </row>
    <row r="90" spans="1:7" x14ac:dyDescent="0.25">
      <c r="A90" s="1">
        <v>89</v>
      </c>
      <c r="B90" s="1" t="s">
        <v>233</v>
      </c>
      <c r="C90" s="10" t="s">
        <v>167</v>
      </c>
      <c r="D90" s="1" t="s">
        <v>138</v>
      </c>
      <c r="E90" s="1"/>
      <c r="F90" s="1"/>
    </row>
    <row r="91" spans="1:7" x14ac:dyDescent="0.25">
      <c r="A91" s="1">
        <v>90</v>
      </c>
      <c r="B91" s="1" t="s">
        <v>233</v>
      </c>
      <c r="C91" s="10" t="s">
        <v>168</v>
      </c>
      <c r="D91" s="1" t="s">
        <v>138</v>
      </c>
      <c r="E91" s="1"/>
      <c r="F91" s="1"/>
    </row>
    <row r="92" spans="1:7" x14ac:dyDescent="0.25">
      <c r="A92" s="1">
        <v>91</v>
      </c>
      <c r="B92" s="1" t="s">
        <v>233</v>
      </c>
      <c r="C92" s="62" t="s">
        <v>170</v>
      </c>
      <c r="D92" s="1" t="s">
        <v>138</v>
      </c>
      <c r="E92" s="1" t="s">
        <v>81</v>
      </c>
      <c r="F92" s="1"/>
    </row>
    <row r="93" spans="1:7" x14ac:dyDescent="0.25">
      <c r="A93" s="1">
        <v>92</v>
      </c>
      <c r="B93" s="1" t="s">
        <v>233</v>
      </c>
      <c r="C93" s="62" t="s">
        <v>169</v>
      </c>
      <c r="D93" s="1" t="s">
        <v>138</v>
      </c>
      <c r="E93" s="1" t="s">
        <v>81</v>
      </c>
      <c r="F93" s="1"/>
      <c r="G93" s="67" t="s">
        <v>228</v>
      </c>
    </row>
    <row r="94" spans="1:7" x14ac:dyDescent="0.25">
      <c r="A94" s="1">
        <v>93</v>
      </c>
      <c r="B94" s="1" t="s">
        <v>233</v>
      </c>
      <c r="C94" s="62" t="s">
        <v>171</v>
      </c>
      <c r="D94" s="1" t="s">
        <v>138</v>
      </c>
      <c r="E94" s="1" t="s">
        <v>81</v>
      </c>
      <c r="F94" s="1"/>
      <c r="G94" s="67" t="s">
        <v>228</v>
      </c>
    </row>
    <row r="95" spans="1:7" x14ac:dyDescent="0.25">
      <c r="A95" s="1">
        <v>94</v>
      </c>
      <c r="B95" s="1" t="s">
        <v>233</v>
      </c>
      <c r="C95" s="62" t="s">
        <v>213</v>
      </c>
      <c r="D95" s="1" t="s">
        <v>138</v>
      </c>
      <c r="E95" s="1" t="s">
        <v>81</v>
      </c>
      <c r="F95" s="1"/>
      <c r="G95" s="67" t="s">
        <v>228</v>
      </c>
    </row>
    <row r="96" spans="1:7" x14ac:dyDescent="0.25">
      <c r="A96" s="1">
        <v>95</v>
      </c>
      <c r="B96" s="1" t="s">
        <v>233</v>
      </c>
      <c r="C96" s="65" t="s">
        <v>218</v>
      </c>
      <c r="D96" s="1"/>
      <c r="E96" s="1"/>
      <c r="F96" s="1"/>
    </row>
    <row r="97" spans="1:7" x14ac:dyDescent="0.25">
      <c r="A97" s="1">
        <v>96</v>
      </c>
      <c r="B97" s="1" t="s">
        <v>233</v>
      </c>
      <c r="C97" s="62" t="s">
        <v>173</v>
      </c>
      <c r="D97" s="1" t="s">
        <v>138</v>
      </c>
      <c r="E97" s="1" t="s">
        <v>81</v>
      </c>
      <c r="F97" s="1"/>
      <c r="G97" s="67" t="s">
        <v>228</v>
      </c>
    </row>
    <row r="98" spans="1:7" x14ac:dyDescent="0.25">
      <c r="A98" s="1">
        <v>97</v>
      </c>
      <c r="B98" s="1" t="s">
        <v>233</v>
      </c>
      <c r="C98" s="65" t="s">
        <v>174</v>
      </c>
      <c r="D98" s="1"/>
      <c r="E98" s="1"/>
      <c r="F98" s="1"/>
    </row>
    <row r="99" spans="1:7" x14ac:dyDescent="0.25">
      <c r="A99" s="1">
        <v>98</v>
      </c>
      <c r="B99" s="1" t="s">
        <v>233</v>
      </c>
      <c r="C99" s="62" t="s">
        <v>204</v>
      </c>
      <c r="D99" s="1" t="s">
        <v>138</v>
      </c>
      <c r="E99" s="1" t="s">
        <v>81</v>
      </c>
      <c r="F99" s="1" t="s">
        <v>206</v>
      </c>
      <c r="G99" s="67" t="s">
        <v>228</v>
      </c>
    </row>
    <row r="100" spans="1:7" x14ac:dyDescent="0.25">
      <c r="A100" s="1">
        <v>99</v>
      </c>
      <c r="B100" s="1" t="s">
        <v>71</v>
      </c>
      <c r="C100" s="62" t="s">
        <v>209</v>
      </c>
      <c r="D100" s="1" t="s">
        <v>138</v>
      </c>
      <c r="E100" s="1" t="s">
        <v>81</v>
      </c>
      <c r="F100" s="1"/>
      <c r="G100" s="67" t="s">
        <v>228</v>
      </c>
    </row>
    <row r="101" spans="1:7" x14ac:dyDescent="0.25">
      <c r="A101" s="1">
        <v>100</v>
      </c>
      <c r="B101" s="1" t="s">
        <v>71</v>
      </c>
      <c r="C101" s="10" t="s">
        <v>210</v>
      </c>
      <c r="D101" s="1" t="s">
        <v>138</v>
      </c>
      <c r="E101" s="1" t="s">
        <v>81</v>
      </c>
      <c r="F101" s="1"/>
      <c r="G101" s="68" t="s">
        <v>228</v>
      </c>
    </row>
    <row r="102" spans="1:7" x14ac:dyDescent="0.25">
      <c r="A102" s="1">
        <v>101</v>
      </c>
      <c r="B102" s="1" t="s">
        <v>233</v>
      </c>
      <c r="C102" s="62" t="s">
        <v>211</v>
      </c>
      <c r="D102" s="1" t="s">
        <v>138</v>
      </c>
      <c r="E102" s="1" t="s">
        <v>81</v>
      </c>
      <c r="F102" s="1"/>
      <c r="G102" s="68" t="s">
        <v>228</v>
      </c>
    </row>
    <row r="103" spans="1:7" x14ac:dyDescent="0.25">
      <c r="A103" s="1">
        <v>102</v>
      </c>
      <c r="B103" s="1" t="s">
        <v>71</v>
      </c>
      <c r="C103" s="49" t="s">
        <v>216</v>
      </c>
      <c r="D103" s="1" t="s">
        <v>138</v>
      </c>
      <c r="E103" s="1" t="s">
        <v>81</v>
      </c>
      <c r="F103" s="1"/>
      <c r="G103" s="68" t="s">
        <v>228</v>
      </c>
    </row>
    <row r="104" spans="1:7" x14ac:dyDescent="0.25">
      <c r="A104" s="1">
        <v>103</v>
      </c>
      <c r="B104" s="1" t="s">
        <v>233</v>
      </c>
      <c r="C104" s="1" t="s">
        <v>231</v>
      </c>
      <c r="D104" s="1" t="s">
        <v>138</v>
      </c>
      <c r="E104" s="1" t="s">
        <v>81</v>
      </c>
      <c r="F104" s="1"/>
      <c r="G104" s="68" t="s">
        <v>228</v>
      </c>
    </row>
    <row r="105" spans="1:7" x14ac:dyDescent="0.25">
      <c r="A105" s="1">
        <v>104</v>
      </c>
      <c r="B105" s="1" t="s">
        <v>71</v>
      </c>
      <c r="C105" s="10" t="s">
        <v>225</v>
      </c>
      <c r="D105" s="1" t="s">
        <v>138</v>
      </c>
      <c r="E105" s="1" t="s">
        <v>81</v>
      </c>
      <c r="F105" s="1"/>
    </row>
    <row r="106" spans="1:7" x14ac:dyDescent="0.25">
      <c r="A106" s="1">
        <v>105</v>
      </c>
      <c r="B106" s="1"/>
      <c r="C106" s="10"/>
      <c r="D106" s="1"/>
      <c r="E106" s="1"/>
      <c r="F106" s="1"/>
      <c r="G106" s="67" t="s">
        <v>228</v>
      </c>
    </row>
    <row r="107" spans="1:7" x14ac:dyDescent="0.25">
      <c r="A107" s="1">
        <v>106</v>
      </c>
      <c r="B107" s="1"/>
      <c r="C107" s="10"/>
      <c r="D107" s="1"/>
      <c r="E107" s="1"/>
      <c r="F107" s="1"/>
    </row>
    <row r="108" spans="1:7" x14ac:dyDescent="0.25">
      <c r="A108" s="1">
        <v>107</v>
      </c>
      <c r="B108" s="1"/>
      <c r="C108" s="10"/>
      <c r="D108" s="1"/>
      <c r="E108" s="1"/>
      <c r="F108" s="1"/>
    </row>
    <row r="109" spans="1:7" x14ac:dyDescent="0.25">
      <c r="A109" s="1">
        <v>108</v>
      </c>
      <c r="D109" s="1"/>
      <c r="E109" s="1"/>
      <c r="F109" s="1"/>
    </row>
    <row r="110" spans="1:7" x14ac:dyDescent="0.25">
      <c r="A110" s="1">
        <v>109</v>
      </c>
      <c r="D110" s="1"/>
      <c r="E110" s="1"/>
      <c r="F110" s="1"/>
    </row>
    <row r="111" spans="1:7" x14ac:dyDescent="0.25">
      <c r="A111" s="1"/>
      <c r="B111" s="1"/>
      <c r="C111" s="1"/>
      <c r="D111" s="1"/>
      <c r="E111" s="1"/>
      <c r="F111" s="1"/>
    </row>
    <row r="112" spans="1:7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</sheetData>
  <autoFilter ref="A1:G110" xr:uid="{9EAEB535-5B14-4B69-869A-6AA481481F2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1165-C3D1-4AE0-AC61-0140025F0859}">
  <dimension ref="A1:D19"/>
  <sheetViews>
    <sheetView workbookViewId="0">
      <selection activeCell="C1" sqref="C1"/>
    </sheetView>
  </sheetViews>
  <sheetFormatPr defaultRowHeight="15" x14ac:dyDescent="0.25"/>
  <cols>
    <col min="2" max="2" width="24" customWidth="1"/>
    <col min="3" max="3" width="19.42578125" customWidth="1"/>
    <col min="4" max="4" width="10.85546875" bestFit="1" customWidth="1"/>
  </cols>
  <sheetData>
    <row r="1" spans="1:4" ht="15.75" x14ac:dyDescent="0.25">
      <c r="A1" s="59" t="s">
        <v>53</v>
      </c>
      <c r="B1" s="60" t="s">
        <v>185</v>
      </c>
      <c r="C1" s="61" t="s">
        <v>176</v>
      </c>
      <c r="D1" s="61" t="s">
        <v>137</v>
      </c>
    </row>
    <row r="2" spans="1:4" ht="28.5" customHeight="1" x14ac:dyDescent="0.25">
      <c r="A2">
        <v>1</v>
      </c>
      <c r="B2" t="s">
        <v>186</v>
      </c>
      <c r="C2" s="20"/>
      <c r="D2" t="s">
        <v>81</v>
      </c>
    </row>
    <row r="3" spans="1:4" x14ac:dyDescent="0.25">
      <c r="A3">
        <v>2</v>
      </c>
      <c r="B3" t="s">
        <v>187</v>
      </c>
    </row>
    <row r="4" spans="1:4" x14ac:dyDescent="0.25">
      <c r="A4">
        <v>3</v>
      </c>
      <c r="B4" t="s">
        <v>188</v>
      </c>
    </row>
    <row r="5" spans="1:4" x14ac:dyDescent="0.25">
      <c r="A5">
        <v>4</v>
      </c>
      <c r="B5" t="s">
        <v>189</v>
      </c>
    </row>
    <row r="6" spans="1:4" x14ac:dyDescent="0.25">
      <c r="A6">
        <v>5</v>
      </c>
      <c r="B6" t="s">
        <v>190</v>
      </c>
    </row>
    <row r="7" spans="1:4" x14ac:dyDescent="0.25">
      <c r="A7">
        <v>6</v>
      </c>
      <c r="B7" t="s">
        <v>191</v>
      </c>
    </row>
    <row r="8" spans="1:4" x14ac:dyDescent="0.25">
      <c r="A8">
        <v>7</v>
      </c>
      <c r="B8" t="s">
        <v>192</v>
      </c>
    </row>
    <row r="9" spans="1:4" x14ac:dyDescent="0.25">
      <c r="A9">
        <v>8</v>
      </c>
      <c r="B9" t="s">
        <v>193</v>
      </c>
    </row>
    <row r="10" spans="1:4" x14ac:dyDescent="0.25">
      <c r="A10">
        <v>9</v>
      </c>
      <c r="B10" t="s">
        <v>194</v>
      </c>
    </row>
    <row r="11" spans="1:4" x14ac:dyDescent="0.25">
      <c r="A11">
        <v>10</v>
      </c>
      <c r="B11" t="s">
        <v>195</v>
      </c>
    </row>
    <row r="12" spans="1:4" x14ac:dyDescent="0.25">
      <c r="A12">
        <v>11</v>
      </c>
      <c r="B12" t="s">
        <v>196</v>
      </c>
    </row>
    <row r="13" spans="1:4" x14ac:dyDescent="0.25">
      <c r="A13">
        <v>12</v>
      </c>
      <c r="B13" t="s">
        <v>197</v>
      </c>
    </row>
    <row r="14" spans="1:4" x14ac:dyDescent="0.25">
      <c r="A14">
        <v>13</v>
      </c>
      <c r="B14" t="s">
        <v>198</v>
      </c>
    </row>
    <row r="15" spans="1:4" x14ac:dyDescent="0.25">
      <c r="A15">
        <v>14</v>
      </c>
      <c r="B15" t="s">
        <v>199</v>
      </c>
    </row>
    <row r="16" spans="1:4" x14ac:dyDescent="0.25">
      <c r="A16">
        <v>15</v>
      </c>
      <c r="B16" t="s">
        <v>200</v>
      </c>
    </row>
    <row r="17" spans="1:2" x14ac:dyDescent="0.25">
      <c r="A17">
        <v>16</v>
      </c>
      <c r="B17" t="s">
        <v>201</v>
      </c>
    </row>
    <row r="18" spans="1:2" x14ac:dyDescent="0.25">
      <c r="A18">
        <v>17</v>
      </c>
      <c r="B18" t="s">
        <v>202</v>
      </c>
    </row>
    <row r="19" spans="1:2" x14ac:dyDescent="0.25">
      <c r="A19">
        <v>18</v>
      </c>
      <c r="B19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E5DD-533E-4E1F-8302-7879B92EFC61}">
  <sheetPr codeName="Sheet5"/>
  <dimension ref="A1:U74"/>
  <sheetViews>
    <sheetView zoomScale="70" zoomScaleNormal="70" workbookViewId="0">
      <selection activeCell="B6" sqref="B6"/>
    </sheetView>
  </sheetViews>
  <sheetFormatPr defaultRowHeight="15" x14ac:dyDescent="0.25"/>
  <cols>
    <col min="1" max="1" width="9.140625" customWidth="1"/>
    <col min="2" max="2" width="13.28515625" customWidth="1"/>
    <col min="3" max="3" width="50.28515625" bestFit="1" customWidth="1"/>
    <col min="4" max="5" width="34.140625" customWidth="1"/>
    <col min="6" max="6" width="12.85546875" bestFit="1" customWidth="1"/>
    <col min="7" max="7" width="12.5703125" customWidth="1"/>
    <col min="8" max="15" width="12.85546875" bestFit="1" customWidth="1"/>
    <col min="16" max="16" width="13.140625" bestFit="1" customWidth="1"/>
    <col min="17" max="17" width="12.85546875" bestFit="1" customWidth="1"/>
    <col min="18" max="21" width="13.140625" bestFit="1" customWidth="1"/>
  </cols>
  <sheetData>
    <row r="1" spans="1:21" ht="15.75" thickBot="1" x14ac:dyDescent="0.3">
      <c r="F1" t="s">
        <v>50</v>
      </c>
      <c r="G1" t="s">
        <v>51</v>
      </c>
      <c r="H1" t="s">
        <v>52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x14ac:dyDescent="0.25">
      <c r="A2" s="42" t="s">
        <v>6</v>
      </c>
      <c r="B2" s="41" t="s">
        <v>70</v>
      </c>
      <c r="C2" s="40" t="s">
        <v>16</v>
      </c>
      <c r="D2" s="44"/>
      <c r="E2" s="44"/>
      <c r="F2" s="22">
        <v>45818</v>
      </c>
      <c r="G2" s="22">
        <v>45819</v>
      </c>
      <c r="H2" s="22">
        <v>45820</v>
      </c>
      <c r="I2" s="22">
        <v>45821</v>
      </c>
      <c r="J2" s="22">
        <v>45822</v>
      </c>
      <c r="K2" s="22">
        <v>45823</v>
      </c>
      <c r="L2" s="22">
        <v>45824</v>
      </c>
      <c r="M2" s="22">
        <v>45825</v>
      </c>
      <c r="N2" s="22">
        <v>45826</v>
      </c>
      <c r="O2" s="22">
        <v>45827</v>
      </c>
      <c r="P2" s="22">
        <v>45828</v>
      </c>
      <c r="Q2" s="22">
        <v>45829</v>
      </c>
      <c r="R2" s="22">
        <v>45830</v>
      </c>
      <c r="S2" s="22">
        <v>45831</v>
      </c>
      <c r="T2" s="22">
        <v>45832</v>
      </c>
      <c r="U2" s="22">
        <v>45833</v>
      </c>
    </row>
    <row r="3" spans="1:21" ht="20.100000000000001" customHeight="1" x14ac:dyDescent="0.25">
      <c r="A3" s="43">
        <v>1</v>
      </c>
      <c r="B3" s="10" t="s">
        <v>80</v>
      </c>
      <c r="C3" s="25" t="s">
        <v>8</v>
      </c>
      <c r="D3" s="36" t="s">
        <v>102</v>
      </c>
      <c r="E3" s="36"/>
    </row>
    <row r="4" spans="1:21" ht="20.100000000000001" customHeight="1" x14ac:dyDescent="0.25">
      <c r="A4" s="43">
        <v>2</v>
      </c>
      <c r="B4" s="10" t="s">
        <v>80</v>
      </c>
      <c r="C4" s="25" t="s">
        <v>2</v>
      </c>
      <c r="D4" s="36" t="s">
        <v>102</v>
      </c>
      <c r="E4" s="36"/>
    </row>
    <row r="5" spans="1:21" ht="20.100000000000001" customHeight="1" x14ac:dyDescent="0.25">
      <c r="A5" s="43">
        <v>3</v>
      </c>
      <c r="B5" s="10" t="s">
        <v>80</v>
      </c>
      <c r="C5" s="25" t="s">
        <v>1</v>
      </c>
      <c r="D5" s="36" t="s">
        <v>102</v>
      </c>
      <c r="E5" s="36"/>
    </row>
    <row r="6" spans="1:21" ht="20.100000000000001" customHeight="1" x14ac:dyDescent="0.25">
      <c r="A6" s="43">
        <v>4</v>
      </c>
      <c r="B6" s="10" t="s">
        <v>80</v>
      </c>
      <c r="C6" s="25" t="s">
        <v>9</v>
      </c>
      <c r="D6" s="36" t="s">
        <v>102</v>
      </c>
      <c r="E6" s="36"/>
    </row>
    <row r="7" spans="1:21" ht="20.100000000000001" customHeight="1" x14ac:dyDescent="0.25">
      <c r="A7" s="43">
        <v>5</v>
      </c>
      <c r="B7" s="10" t="s">
        <v>80</v>
      </c>
      <c r="C7" s="25" t="s">
        <v>10</v>
      </c>
      <c r="D7" s="36" t="s">
        <v>103</v>
      </c>
      <c r="E7" s="36"/>
    </row>
    <row r="8" spans="1:21" ht="20.100000000000001" customHeight="1" x14ac:dyDescent="0.25">
      <c r="A8" s="43">
        <v>6</v>
      </c>
      <c r="B8" s="10" t="s">
        <v>80</v>
      </c>
      <c r="C8" s="25" t="s">
        <v>3</v>
      </c>
      <c r="D8" s="36" t="s">
        <v>102</v>
      </c>
      <c r="E8" s="36"/>
    </row>
    <row r="9" spans="1:21" ht="20.100000000000001" customHeight="1" x14ac:dyDescent="0.25">
      <c r="A9" s="43">
        <v>7</v>
      </c>
      <c r="B9" s="10" t="s">
        <v>80</v>
      </c>
      <c r="C9" s="25" t="s">
        <v>4</v>
      </c>
      <c r="D9" s="36" t="s">
        <v>102</v>
      </c>
      <c r="E9" s="36"/>
    </row>
    <row r="10" spans="1:21" ht="20.100000000000001" customHeight="1" x14ac:dyDescent="0.25">
      <c r="A10" s="43">
        <v>8</v>
      </c>
      <c r="B10" s="10" t="s">
        <v>80</v>
      </c>
      <c r="C10" s="25" t="s">
        <v>11</v>
      </c>
      <c r="D10" s="36" t="s">
        <v>102</v>
      </c>
      <c r="E10" s="36"/>
    </row>
    <row r="11" spans="1:21" ht="20.100000000000001" customHeight="1" x14ac:dyDescent="0.25">
      <c r="A11" s="43">
        <v>9</v>
      </c>
      <c r="B11" s="10" t="s">
        <v>80</v>
      </c>
      <c r="C11" s="25" t="s">
        <v>12</v>
      </c>
      <c r="D11" s="36" t="s">
        <v>102</v>
      </c>
      <c r="E11" s="36"/>
    </row>
    <row r="12" spans="1:21" ht="20.100000000000001" customHeight="1" x14ac:dyDescent="0.25">
      <c r="A12" s="43">
        <v>10</v>
      </c>
      <c r="B12" s="10" t="s">
        <v>80</v>
      </c>
      <c r="C12" s="25" t="s">
        <v>0</v>
      </c>
      <c r="D12" s="36" t="s">
        <v>102</v>
      </c>
      <c r="E12" s="36"/>
    </row>
    <row r="13" spans="1:21" ht="20.100000000000001" customHeight="1" x14ac:dyDescent="0.25">
      <c r="A13" s="43">
        <v>11</v>
      </c>
      <c r="B13" s="10" t="s">
        <v>80</v>
      </c>
      <c r="C13" s="26" t="s">
        <v>13</v>
      </c>
      <c r="D13" s="45" t="s">
        <v>102</v>
      </c>
      <c r="E13" s="45"/>
    </row>
    <row r="14" spans="1:21" ht="20.100000000000001" customHeight="1" x14ac:dyDescent="0.25">
      <c r="A14" s="43">
        <v>12</v>
      </c>
      <c r="B14" s="10" t="s">
        <v>80</v>
      </c>
      <c r="C14" s="26" t="s">
        <v>7</v>
      </c>
      <c r="D14" s="45" t="s">
        <v>102</v>
      </c>
      <c r="E14" s="45"/>
    </row>
    <row r="15" spans="1:21" ht="20.100000000000001" customHeight="1" x14ac:dyDescent="0.25">
      <c r="A15" s="43">
        <v>13</v>
      </c>
      <c r="B15" s="10" t="s">
        <v>80</v>
      </c>
      <c r="C15" s="26" t="s">
        <v>5</v>
      </c>
      <c r="D15" s="45" t="s">
        <v>102</v>
      </c>
      <c r="E15" s="45"/>
    </row>
    <row r="16" spans="1:21" ht="20.100000000000001" customHeight="1" x14ac:dyDescent="0.25">
      <c r="A16" s="43">
        <v>15</v>
      </c>
      <c r="B16" s="10" t="s">
        <v>80</v>
      </c>
      <c r="C16" s="25" t="s">
        <v>14</v>
      </c>
      <c r="D16" s="36" t="s">
        <v>102</v>
      </c>
      <c r="E16" s="36"/>
    </row>
    <row r="17" spans="1:9" ht="20.100000000000001" customHeight="1" x14ac:dyDescent="0.25">
      <c r="A17" s="43">
        <v>16</v>
      </c>
      <c r="B17" s="10" t="s">
        <v>80</v>
      </c>
      <c r="C17" s="25" t="s">
        <v>15</v>
      </c>
      <c r="D17" s="25" t="s">
        <v>102</v>
      </c>
      <c r="E17" s="25"/>
      <c r="F17" s="1"/>
    </row>
    <row r="18" spans="1:9" ht="20.100000000000001" customHeight="1" x14ac:dyDescent="0.25">
      <c r="A18" s="43">
        <v>17</v>
      </c>
      <c r="B18" s="10" t="s">
        <v>71</v>
      </c>
      <c r="C18" s="26" t="s">
        <v>65</v>
      </c>
      <c r="D18" s="45"/>
      <c r="E18" s="45"/>
    </row>
    <row r="19" spans="1:9" ht="20.100000000000001" customHeight="1" x14ac:dyDescent="0.25">
      <c r="A19" s="43">
        <v>18</v>
      </c>
      <c r="B19" s="10" t="s">
        <v>80</v>
      </c>
      <c r="C19" s="25" t="s">
        <v>44</v>
      </c>
      <c r="D19" s="36" t="s">
        <v>103</v>
      </c>
      <c r="E19" s="36"/>
    </row>
    <row r="20" spans="1:9" ht="20.100000000000001" customHeight="1" x14ac:dyDescent="0.25">
      <c r="A20" s="43">
        <v>19</v>
      </c>
      <c r="B20" s="10" t="s">
        <v>80</v>
      </c>
      <c r="C20" s="27" t="s">
        <v>40</v>
      </c>
      <c r="D20" s="46" t="s">
        <v>103</v>
      </c>
      <c r="E20" s="46"/>
    </row>
    <row r="21" spans="1:9" ht="20.100000000000001" customHeight="1" x14ac:dyDescent="0.25">
      <c r="A21" s="43">
        <v>20</v>
      </c>
      <c r="B21" s="10" t="s">
        <v>80</v>
      </c>
      <c r="C21" s="27" t="s">
        <v>41</v>
      </c>
      <c r="D21" s="46" t="s">
        <v>103</v>
      </c>
      <c r="E21" s="46"/>
      <c r="I21" s="1"/>
    </row>
    <row r="22" spans="1:9" ht="20.100000000000001" customHeight="1" x14ac:dyDescent="0.25">
      <c r="A22" s="43">
        <v>21</v>
      </c>
      <c r="B22" s="10" t="s">
        <v>80</v>
      </c>
      <c r="C22" s="26" t="s">
        <v>55</v>
      </c>
      <c r="D22" s="45" t="s">
        <v>103</v>
      </c>
      <c r="E22" s="45"/>
      <c r="I22" s="1"/>
    </row>
    <row r="23" spans="1:9" ht="20.100000000000001" customHeight="1" x14ac:dyDescent="0.25">
      <c r="A23" s="43">
        <v>22</v>
      </c>
      <c r="B23" s="10" t="s">
        <v>80</v>
      </c>
      <c r="C23" s="26" t="s">
        <v>57</v>
      </c>
      <c r="D23" s="45" t="s">
        <v>103</v>
      </c>
      <c r="E23" s="45"/>
    </row>
    <row r="24" spans="1:9" x14ac:dyDescent="0.25">
      <c r="A24" s="43">
        <v>23</v>
      </c>
      <c r="B24" s="10" t="s">
        <v>80</v>
      </c>
      <c r="C24" s="25" t="s">
        <v>58</v>
      </c>
      <c r="D24" s="36" t="s">
        <v>103</v>
      </c>
      <c r="E24" s="36"/>
    </row>
    <row r="25" spans="1:9" x14ac:dyDescent="0.25">
      <c r="A25" s="43">
        <v>24</v>
      </c>
      <c r="B25" s="10" t="s">
        <v>80</v>
      </c>
      <c r="C25" s="25" t="s">
        <v>59</v>
      </c>
      <c r="D25" s="36" t="s">
        <v>103</v>
      </c>
      <c r="E25" s="36"/>
    </row>
    <row r="26" spans="1:9" x14ac:dyDescent="0.25">
      <c r="A26" s="43">
        <v>25</v>
      </c>
      <c r="B26" s="10" t="s">
        <v>80</v>
      </c>
      <c r="C26" s="25" t="s">
        <v>60</v>
      </c>
      <c r="D26" s="36" t="s">
        <v>103</v>
      </c>
      <c r="E26" s="36"/>
    </row>
    <row r="27" spans="1:9" x14ac:dyDescent="0.25">
      <c r="A27" s="43">
        <v>26</v>
      </c>
      <c r="B27" s="10" t="s">
        <v>80</v>
      </c>
      <c r="C27" s="25" t="s">
        <v>42</v>
      </c>
      <c r="D27" s="36" t="s">
        <v>102</v>
      </c>
      <c r="E27" s="36"/>
    </row>
    <row r="28" spans="1:9" x14ac:dyDescent="0.25">
      <c r="A28" s="43">
        <v>28</v>
      </c>
      <c r="B28" s="10" t="s">
        <v>80</v>
      </c>
      <c r="C28" s="25" t="s">
        <v>61</v>
      </c>
      <c r="D28" s="36" t="s">
        <v>102</v>
      </c>
      <c r="E28" s="36"/>
    </row>
    <row r="29" spans="1:9" x14ac:dyDescent="0.25">
      <c r="A29" s="43">
        <v>29</v>
      </c>
      <c r="B29" s="10" t="s">
        <v>80</v>
      </c>
      <c r="C29" s="25" t="s">
        <v>62</v>
      </c>
      <c r="D29" s="36" t="s">
        <v>103</v>
      </c>
      <c r="E29" s="36"/>
    </row>
    <row r="30" spans="1:9" x14ac:dyDescent="0.25">
      <c r="A30" s="43">
        <v>30</v>
      </c>
      <c r="B30" s="10" t="s">
        <v>80</v>
      </c>
      <c r="C30" s="25" t="s">
        <v>54</v>
      </c>
      <c r="D30" s="36" t="s">
        <v>102</v>
      </c>
      <c r="E30" s="36"/>
      <c r="H30" s="1"/>
    </row>
    <row r="31" spans="1:9" x14ac:dyDescent="0.25">
      <c r="A31" s="43">
        <v>31</v>
      </c>
      <c r="B31" s="10" t="s">
        <v>80</v>
      </c>
      <c r="C31" s="25" t="s">
        <v>63</v>
      </c>
      <c r="D31" s="36" t="s">
        <v>102</v>
      </c>
      <c r="E31" s="36"/>
    </row>
    <row r="32" spans="1:9" x14ac:dyDescent="0.25">
      <c r="A32" s="43">
        <v>32</v>
      </c>
      <c r="B32" s="10" t="s">
        <v>71</v>
      </c>
      <c r="C32" s="26" t="s">
        <v>74</v>
      </c>
      <c r="D32" s="45"/>
      <c r="E32" s="45"/>
    </row>
    <row r="33" spans="1:8" x14ac:dyDescent="0.25">
      <c r="A33" s="43">
        <v>33</v>
      </c>
      <c r="B33" s="10" t="s">
        <v>71</v>
      </c>
      <c r="C33" s="26" t="s">
        <v>75</v>
      </c>
      <c r="D33" s="45"/>
      <c r="E33" s="45"/>
    </row>
    <row r="34" spans="1:8" x14ac:dyDescent="0.25">
      <c r="A34" s="43">
        <v>34</v>
      </c>
      <c r="B34" s="10" t="s">
        <v>71</v>
      </c>
      <c r="C34" s="26" t="s">
        <v>66</v>
      </c>
      <c r="D34" s="45"/>
      <c r="E34" s="45"/>
    </row>
    <row r="35" spans="1:8" x14ac:dyDescent="0.25">
      <c r="A35" s="43">
        <v>35</v>
      </c>
      <c r="B35" s="10" t="s">
        <v>71</v>
      </c>
      <c r="C35" s="25" t="s">
        <v>67</v>
      </c>
      <c r="D35" s="36"/>
      <c r="E35" s="36"/>
    </row>
    <row r="36" spans="1:8" x14ac:dyDescent="0.25">
      <c r="A36" s="43">
        <v>36</v>
      </c>
      <c r="B36" s="10" t="s">
        <v>71</v>
      </c>
      <c r="C36" s="25" t="s">
        <v>68</v>
      </c>
      <c r="D36" s="36"/>
      <c r="E36" s="36"/>
    </row>
    <row r="37" spans="1:8" x14ac:dyDescent="0.25">
      <c r="A37" s="43">
        <v>37</v>
      </c>
      <c r="B37" s="10" t="s">
        <v>71</v>
      </c>
      <c r="C37" s="25" t="s">
        <v>69</v>
      </c>
      <c r="D37" s="36"/>
      <c r="E37" s="36"/>
    </row>
    <row r="38" spans="1:8" x14ac:dyDescent="0.25">
      <c r="A38" s="43">
        <v>38</v>
      </c>
      <c r="B38" s="10" t="s">
        <v>76</v>
      </c>
      <c r="C38" s="25" t="s">
        <v>73</v>
      </c>
      <c r="D38" s="36"/>
      <c r="E38" s="36"/>
    </row>
    <row r="39" spans="1:8" x14ac:dyDescent="0.25">
      <c r="A39" s="43">
        <v>39</v>
      </c>
      <c r="B39" s="10" t="s">
        <v>76</v>
      </c>
      <c r="C39" s="25" t="s">
        <v>72</v>
      </c>
      <c r="D39" s="36"/>
      <c r="E39" s="36"/>
    </row>
    <row r="40" spans="1:8" x14ac:dyDescent="0.25">
      <c r="A40" s="43">
        <v>40</v>
      </c>
      <c r="B40" s="10" t="s">
        <v>80</v>
      </c>
      <c r="C40" s="25" t="s">
        <v>78</v>
      </c>
      <c r="D40" s="36" t="s">
        <v>103</v>
      </c>
      <c r="E40" s="36"/>
    </row>
    <row r="41" spans="1:8" x14ac:dyDescent="0.25">
      <c r="A41" s="43">
        <v>41</v>
      </c>
      <c r="B41" s="10" t="s">
        <v>80</v>
      </c>
      <c r="C41" s="25" t="s">
        <v>79</v>
      </c>
      <c r="D41" s="36" t="s">
        <v>103</v>
      </c>
      <c r="E41" s="36"/>
    </row>
    <row r="42" spans="1:8" x14ac:dyDescent="0.25">
      <c r="A42" s="43">
        <v>42</v>
      </c>
      <c r="B42" s="10" t="s">
        <v>80</v>
      </c>
      <c r="C42" s="25" t="s">
        <v>86</v>
      </c>
      <c r="D42" s="36" t="s">
        <v>102</v>
      </c>
      <c r="E42" s="36"/>
    </row>
    <row r="43" spans="1:8" x14ac:dyDescent="0.25">
      <c r="A43" s="43">
        <v>43</v>
      </c>
      <c r="B43" s="10" t="s">
        <v>80</v>
      </c>
      <c r="C43" s="25" t="s">
        <v>87</v>
      </c>
      <c r="D43" s="36" t="s">
        <v>102</v>
      </c>
      <c r="E43" s="36"/>
      <c r="H43" s="1"/>
    </row>
    <row r="44" spans="1:8" x14ac:dyDescent="0.25">
      <c r="A44" s="43">
        <v>44</v>
      </c>
      <c r="B44" s="10" t="s">
        <v>80</v>
      </c>
      <c r="C44" s="25" t="s">
        <v>88</v>
      </c>
      <c r="D44" s="36" t="s">
        <v>103</v>
      </c>
      <c r="E44" s="36"/>
    </row>
    <row r="45" spans="1:8" ht="19.5" customHeight="1" x14ac:dyDescent="0.25">
      <c r="A45" s="43">
        <v>45</v>
      </c>
      <c r="B45" s="10" t="s">
        <v>71</v>
      </c>
      <c r="C45" s="25" t="s">
        <v>100</v>
      </c>
      <c r="D45" s="36"/>
      <c r="E45" s="36"/>
    </row>
    <row r="46" spans="1:8" ht="19.5" customHeight="1" x14ac:dyDescent="0.25">
      <c r="A46" s="43">
        <v>46</v>
      </c>
      <c r="B46" s="10" t="s">
        <v>71</v>
      </c>
      <c r="C46" s="26" t="s">
        <v>101</v>
      </c>
      <c r="D46" s="45"/>
      <c r="E46" s="45"/>
    </row>
    <row r="49" spans="1:10" x14ac:dyDescent="0.25">
      <c r="A49" s="23">
        <v>49</v>
      </c>
      <c r="B49" s="21" t="s">
        <v>80</v>
      </c>
      <c r="C49" s="47" t="s">
        <v>129</v>
      </c>
    </row>
    <row r="50" spans="1:10" x14ac:dyDescent="0.25">
      <c r="A50" s="23">
        <v>50</v>
      </c>
      <c r="B50" s="21" t="s">
        <v>80</v>
      </c>
      <c r="C50" s="21" t="s">
        <v>104</v>
      </c>
    </row>
    <row r="51" spans="1:10" x14ac:dyDescent="0.25">
      <c r="A51" s="23">
        <v>51</v>
      </c>
      <c r="B51" s="21" t="s">
        <v>80</v>
      </c>
      <c r="C51" s="21" t="s">
        <v>105</v>
      </c>
    </row>
    <row r="52" spans="1:10" x14ac:dyDescent="0.25">
      <c r="A52" s="23">
        <v>52</v>
      </c>
      <c r="B52" s="21" t="s">
        <v>80</v>
      </c>
      <c r="C52" s="21" t="s">
        <v>106</v>
      </c>
    </row>
    <row r="53" spans="1:10" x14ac:dyDescent="0.25">
      <c r="A53" s="23">
        <v>53</v>
      </c>
      <c r="B53" s="21" t="s">
        <v>80</v>
      </c>
      <c r="C53" s="48" t="s">
        <v>128</v>
      </c>
    </row>
    <row r="54" spans="1:10" x14ac:dyDescent="0.25">
      <c r="A54" s="23">
        <v>54</v>
      </c>
      <c r="B54" s="21" t="s">
        <v>80</v>
      </c>
      <c r="C54" s="21" t="s">
        <v>107</v>
      </c>
    </row>
    <row r="55" spans="1:10" x14ac:dyDescent="0.25">
      <c r="A55" s="23">
        <v>55</v>
      </c>
      <c r="B55" s="21" t="s">
        <v>80</v>
      </c>
      <c r="C55" s="21" t="s">
        <v>108</v>
      </c>
    </row>
    <row r="56" spans="1:10" x14ac:dyDescent="0.25">
      <c r="A56" s="23">
        <v>56</v>
      </c>
      <c r="B56" s="21" t="s">
        <v>80</v>
      </c>
      <c r="C56" s="21" t="s">
        <v>109</v>
      </c>
    </row>
    <row r="57" spans="1:10" x14ac:dyDescent="0.25">
      <c r="A57" s="23">
        <v>57</v>
      </c>
      <c r="B57" s="21" t="s">
        <v>80</v>
      </c>
      <c r="C57" s="21" t="s">
        <v>110</v>
      </c>
    </row>
    <row r="58" spans="1:10" x14ac:dyDescent="0.25">
      <c r="A58" s="23">
        <v>58</v>
      </c>
      <c r="B58" s="21" t="s">
        <v>80</v>
      </c>
      <c r="C58" s="21" t="s">
        <v>111</v>
      </c>
    </row>
    <row r="59" spans="1:10" x14ac:dyDescent="0.25">
      <c r="A59" s="23">
        <v>59</v>
      </c>
      <c r="B59" s="21" t="s">
        <v>80</v>
      </c>
      <c r="C59" s="21" t="s">
        <v>112</v>
      </c>
    </row>
    <row r="60" spans="1:10" x14ac:dyDescent="0.25">
      <c r="A60" s="23">
        <v>60</v>
      </c>
      <c r="B60" s="21" t="s">
        <v>80</v>
      </c>
      <c r="C60" s="21" t="s">
        <v>113</v>
      </c>
      <c r="J60" s="1"/>
    </row>
    <row r="61" spans="1:10" x14ac:dyDescent="0.25">
      <c r="A61" s="23">
        <v>61</v>
      </c>
      <c r="B61" s="21" t="s">
        <v>80</v>
      </c>
      <c r="C61" s="21" t="s">
        <v>114</v>
      </c>
    </row>
    <row r="62" spans="1:10" x14ac:dyDescent="0.25">
      <c r="A62" s="23">
        <v>62</v>
      </c>
      <c r="B62" s="21" t="s">
        <v>80</v>
      </c>
      <c r="C62" s="21" t="s">
        <v>115</v>
      </c>
    </row>
    <row r="63" spans="1:10" x14ac:dyDescent="0.25">
      <c r="A63" s="23">
        <v>63</v>
      </c>
      <c r="B63" s="21" t="s">
        <v>80</v>
      </c>
      <c r="C63" s="21" t="s">
        <v>116</v>
      </c>
    </row>
    <row r="64" spans="1:10" x14ac:dyDescent="0.25">
      <c r="A64" s="23">
        <v>64</v>
      </c>
      <c r="B64" s="21" t="s">
        <v>80</v>
      </c>
      <c r="C64" s="21" t="s">
        <v>117</v>
      </c>
    </row>
    <row r="65" spans="1:3" x14ac:dyDescent="0.25">
      <c r="A65" s="23">
        <v>65</v>
      </c>
      <c r="B65" s="21" t="s">
        <v>71</v>
      </c>
      <c r="C65" s="21" t="s">
        <v>118</v>
      </c>
    </row>
    <row r="66" spans="1:3" x14ac:dyDescent="0.25">
      <c r="A66" s="23">
        <v>66</v>
      </c>
      <c r="B66" s="21" t="s">
        <v>71</v>
      </c>
      <c r="C66" s="21" t="s">
        <v>119</v>
      </c>
    </row>
    <row r="67" spans="1:3" x14ac:dyDescent="0.25">
      <c r="A67" s="23">
        <v>67</v>
      </c>
      <c r="B67" s="21" t="s">
        <v>71</v>
      </c>
      <c r="C67" s="21" t="s">
        <v>120</v>
      </c>
    </row>
    <row r="68" spans="1:3" x14ac:dyDescent="0.25">
      <c r="A68" s="23">
        <v>68</v>
      </c>
      <c r="B68" s="21" t="s">
        <v>71</v>
      </c>
      <c r="C68" s="21" t="s">
        <v>121</v>
      </c>
    </row>
    <row r="69" spans="1:3" x14ac:dyDescent="0.25">
      <c r="A69" s="23">
        <v>69</v>
      </c>
      <c r="B69" s="21" t="s">
        <v>71</v>
      </c>
      <c r="C69" s="21" t="s">
        <v>122</v>
      </c>
    </row>
    <row r="70" spans="1:3" x14ac:dyDescent="0.25">
      <c r="A70" s="23">
        <v>70</v>
      </c>
      <c r="B70" s="21" t="s">
        <v>71</v>
      </c>
      <c r="C70" s="21" t="s">
        <v>123</v>
      </c>
    </row>
    <row r="71" spans="1:3" x14ac:dyDescent="0.25">
      <c r="A71" s="23">
        <v>71</v>
      </c>
      <c r="B71" s="21" t="s">
        <v>71</v>
      </c>
      <c r="C71" s="21" t="s">
        <v>124</v>
      </c>
    </row>
    <row r="72" spans="1:3" x14ac:dyDescent="0.25">
      <c r="A72" s="23">
        <v>72</v>
      </c>
      <c r="B72" s="21" t="s">
        <v>71</v>
      </c>
      <c r="C72" s="21" t="s">
        <v>125</v>
      </c>
    </row>
    <row r="73" spans="1:3" x14ac:dyDescent="0.25">
      <c r="A73" s="23">
        <v>73</v>
      </c>
      <c r="B73" s="21" t="s">
        <v>71</v>
      </c>
      <c r="C73" s="21" t="s">
        <v>126</v>
      </c>
    </row>
    <row r="74" spans="1:3" x14ac:dyDescent="0.25">
      <c r="A74" s="23">
        <v>74</v>
      </c>
      <c r="B74" s="21" t="s">
        <v>71</v>
      </c>
      <c r="C74" s="21" t="s">
        <v>127</v>
      </c>
    </row>
  </sheetData>
  <autoFilter ref="A2:U46" xr:uid="{4A8DE5DD-533E-4E1F-8302-7879B92EFC61}"/>
  <phoneticPr fontId="6" type="noConversion"/>
  <pageMargins left="0.7" right="0.7" top="0.75" bottom="0.75" header="0.3" footer="0.3"/>
  <pageSetup paperSize="9" orientation="portrait" verticalDpi="0" r:id="rId1"/>
  <headerFooter>
    <oddFooter>&amp;L_x000D_&amp;1#&amp;"Calibri"&amp;10&amp;K000000 Aequs Internal-Strictly this data should remain with Aequs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Notebooks (Final)</vt:lpstr>
      <vt:lpstr>Schoolwise notebook count (Fin)</vt:lpstr>
      <vt:lpstr>Notebook Distributed</vt:lpstr>
      <vt:lpstr>Team for Distribution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 001</dc:creator>
  <cp:lastModifiedBy>Prathamesh Ganachari</cp:lastModifiedBy>
  <cp:lastPrinted>2025-07-02T06:23:17Z</cp:lastPrinted>
  <dcterms:created xsi:type="dcterms:W3CDTF">2023-06-19T06:36:15Z</dcterms:created>
  <dcterms:modified xsi:type="dcterms:W3CDTF">2026-09-04T12:39:52Z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facff-9488-4f5a-8998-1837b0b9db01_Enabled">
    <vt:lpwstr>true</vt:lpwstr>
  </property>
  <property fmtid="{D5CDD505-2E9C-101B-9397-08002B2CF9AE}" pid="3" name="MSIP_Label_435facff-9488-4f5a-8998-1837b0b9db01_SetDate">
    <vt:lpwstr>2024-07-12T04:04:52Z</vt:lpwstr>
  </property>
  <property fmtid="{D5CDD505-2E9C-101B-9397-08002B2CF9AE}" pid="4" name="MSIP_Label_435facff-9488-4f5a-8998-1837b0b9db01_Method">
    <vt:lpwstr>Privileged</vt:lpwstr>
  </property>
  <property fmtid="{D5CDD505-2E9C-101B-9397-08002B2CF9AE}" pid="5" name="MSIP_Label_435facff-9488-4f5a-8998-1837b0b9db01_Name">
    <vt:lpwstr>General</vt:lpwstr>
  </property>
  <property fmtid="{D5CDD505-2E9C-101B-9397-08002B2CF9AE}" pid="6" name="MSIP_Label_435facff-9488-4f5a-8998-1837b0b9db01_SiteId">
    <vt:lpwstr>0e0f5bfc-3e6d-414f-8e75-abead7e01789</vt:lpwstr>
  </property>
  <property fmtid="{D5CDD505-2E9C-101B-9397-08002B2CF9AE}" pid="7" name="MSIP_Label_435facff-9488-4f5a-8998-1837b0b9db01_ActionId">
    <vt:lpwstr>7a60d74d-8ace-4b1b-a2b5-1e0f9980b982</vt:lpwstr>
  </property>
  <property fmtid="{D5CDD505-2E9C-101B-9397-08002B2CF9AE}" pid="8" name="MSIP_Label_435facff-9488-4f5a-8998-1837b0b9db01_ContentBits">
    <vt:lpwstr>2</vt:lpwstr>
  </property>
</Properties>
</file>